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1.xml" ContentType="application/vnd.openxmlformats-officedocument.drawing+xml"/>
  <Override PartName="/xl/webextensions/webextension1.xml" ContentType="application/vnd.ms-office.webextension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Usuario\Desktop\Portfolio Excel - RH KPI\"/>
    </mc:Choice>
  </mc:AlternateContent>
  <xr:revisionPtr revIDLastSave="0" documentId="8_{37D8AC47-5D7A-4585-AACF-07B90053F815}" xr6:coauthVersionLast="47" xr6:coauthVersionMax="47" xr10:uidLastSave="{00000000-0000-0000-0000-000000000000}"/>
  <bookViews>
    <workbookView xWindow="-120" yWindow="-120" windowWidth="29040" windowHeight="15840" tabRatio="843" activeTab="8" xr2:uid="{00000000-000D-0000-FFFF-FFFF00000000}"/>
  </bookViews>
  <sheets>
    <sheet name="Base_RH" sheetId="1" r:id="rId1"/>
    <sheet name="Medidas" sheetId="11" state="hidden" r:id="rId2"/>
    <sheet name="% Turnover" sheetId="4" state="hidden" r:id="rId3"/>
    <sheet name="Turnover por Depart-&gt;cargo" sheetId="8" state="hidden" r:id="rId4"/>
    <sheet name="Média satisfação por depart" sheetId="6" state="hidden" r:id="rId5"/>
    <sheet name="Média Salarial por Cargo" sheetId="9" state="hidden" r:id="rId6"/>
    <sheet name="Top 5 cargos com + média salari" sheetId="13" state="hidden" r:id="rId7"/>
    <sheet name="Funcionarios com + tempo de cas" sheetId="14" state="hidden" r:id="rId8"/>
    <sheet name="Dashboard_RH" sheetId="10" r:id="rId9"/>
  </sheets>
  <definedNames>
    <definedName name="_xlnm._FilterDatabase" localSheetId="0" hidden="1">Base_RH!$A$1:$K$201</definedName>
  </definedNames>
  <calcPr calcId="191029"/>
  <pivotCaches>
    <pivotCache cacheId="0" r:id="rId10"/>
  </pivotCaches>
  <extLst>
    <ext xmlns:x15="http://schemas.microsoft.com/office/spreadsheetml/2010/11/main" uri="{FCE2AD5D-F65C-4FA6-A056-5C36A1767C68}">
      <x15:dataModel>
        <x15:modelTables>
          <x15:modelTable id="PastedTable" name="PastedTable" connection="Conexão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6"/>
  <c r="C7" i="6"/>
  <c r="C8" i="6"/>
  <c r="C9" i="6"/>
  <c r="C4" i="6"/>
  <c r="C4" i="8"/>
  <c r="C5" i="8"/>
  <c r="C6" i="8"/>
  <c r="C7" i="8"/>
  <c r="C8" i="8"/>
  <c r="C9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849C87B-9B35-4470-AAA9-F6D5091EF072}" name="Conexão" type="104" refreshedVersion="0" background="1">
    <extLst>
      <ext xmlns:x15="http://schemas.microsoft.com/office/spreadsheetml/2010/11/main" uri="{DE250136-89BD-433C-8126-D09CA5730AF9}">
        <x15:connection id="PastedTable"/>
      </ext>
    </extLst>
  </connection>
  <connection id="2" xr16:uid="{6CFDA1A5-4E3E-419C-AD25-73C4295830FA}" keepAlive="1" name="ThisWorkbookDataModel" description="Modelo de Dados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<sst xmlns="http://schemas.openxmlformats.org/spreadsheetml/2006/main" count="1078" uniqueCount="237">
  <si>
    <t>ID</t>
  </si>
  <si>
    <t>Nome</t>
  </si>
  <si>
    <t>Departamento</t>
  </si>
  <si>
    <t>Cargo</t>
  </si>
  <si>
    <t>Idade</t>
  </si>
  <si>
    <t>Gênero</t>
  </si>
  <si>
    <t>Salário</t>
  </si>
  <si>
    <t>Anos na Empresa</t>
  </si>
  <si>
    <t>Satisfação no Trabalho</t>
  </si>
  <si>
    <t>Treinamentos</t>
  </si>
  <si>
    <t>Rotatividade</t>
  </si>
  <si>
    <t>Dr. Eduardo da Luz</t>
  </si>
  <si>
    <t>Arthur Castro</t>
  </si>
  <si>
    <t>Thales Moura</t>
  </si>
  <si>
    <t>Pedro Lucas Cardoso</t>
  </si>
  <si>
    <t>Dr. Enrico Ribeiro</t>
  </si>
  <si>
    <t>Ana Beatriz da Luz</t>
  </si>
  <si>
    <t>Ryan Novaes</t>
  </si>
  <si>
    <t>Letícia Martins</t>
  </si>
  <si>
    <t>Gabriel Lima</t>
  </si>
  <si>
    <t>Olivia da Cruz</t>
  </si>
  <si>
    <t>Henrique Correia</t>
  </si>
  <si>
    <t>Theo Nunes</t>
  </si>
  <si>
    <t>Sr. João Gabriel Castro</t>
  </si>
  <si>
    <t>Enzo Mendes</t>
  </si>
  <si>
    <t>João Lucas Rocha</t>
  </si>
  <si>
    <t>Sr. Breno Cunha</t>
  </si>
  <si>
    <t>Dra. Ana Clara Melo</t>
  </si>
  <si>
    <t>Davi Lucca Gonçalves</t>
  </si>
  <si>
    <t>Arthur Cardoso</t>
  </si>
  <si>
    <t>Srta. Kamilly Porto</t>
  </si>
  <si>
    <t>Daniela Teixeira</t>
  </si>
  <si>
    <t>Anthony da Mota</t>
  </si>
  <si>
    <t>Joaquim Porto</t>
  </si>
  <si>
    <t>Joaquim Fogaça</t>
  </si>
  <si>
    <t>Sr. Bernardo Cardoso</t>
  </si>
  <si>
    <t>Vinicius da Conceição</t>
  </si>
  <si>
    <t>João Gabriel Viana</t>
  </si>
  <si>
    <t>Theo da Rocha</t>
  </si>
  <si>
    <t>Antônio Cardoso</t>
  </si>
  <si>
    <t>Bruno Correia</t>
  </si>
  <si>
    <t>Davi Lucca Barros</t>
  </si>
  <si>
    <t>Sr. Paulo Jesus</t>
  </si>
  <si>
    <t>Melissa Moraes</t>
  </si>
  <si>
    <t>Srta. Rebeca Freitas</t>
  </si>
  <si>
    <t>Maria Julia Almeida</t>
  </si>
  <si>
    <t>Bárbara Silva</t>
  </si>
  <si>
    <t>Gustavo da Mata</t>
  </si>
  <si>
    <t>Emilly Cunha</t>
  </si>
  <si>
    <t>João Lucas da Conceição</t>
  </si>
  <si>
    <t>Juliana Novaes</t>
  </si>
  <si>
    <t>Isabelly Freitas</t>
  </si>
  <si>
    <t>Enrico Alves</t>
  </si>
  <si>
    <t>Leonardo Moreira</t>
  </si>
  <si>
    <t>Srta. Maria Fernanda Cavalcanti</t>
  </si>
  <si>
    <t>Dr. João Gabriel Duarte</t>
  </si>
  <si>
    <t>Brenda Viana</t>
  </si>
  <si>
    <t>João Guilherme Novaes</t>
  </si>
  <si>
    <t>Dra. Lavínia Oliveira</t>
  </si>
  <si>
    <t>Pedro Miguel Teixeira</t>
  </si>
  <si>
    <t>Luigi Oliveira</t>
  </si>
  <si>
    <t>Sr. Anthony da Mota</t>
  </si>
  <si>
    <t>Melissa Rezende</t>
  </si>
  <si>
    <t>Dr. Enrico das Neves</t>
  </si>
  <si>
    <t>Melissa Castro</t>
  </si>
  <si>
    <t>Sofia da Luz</t>
  </si>
  <si>
    <t>Matheus Melo</t>
  </si>
  <si>
    <t>Luiz Gustavo Campos</t>
  </si>
  <si>
    <t>Srta. Giovanna Almeida</t>
  </si>
  <si>
    <t>Murilo Barros</t>
  </si>
  <si>
    <t>João Pedro das Neves</t>
  </si>
  <si>
    <t>Rebeca das Neves</t>
  </si>
  <si>
    <t>Eduardo Novaes</t>
  </si>
  <si>
    <t>Srta. Luiza Mendes</t>
  </si>
  <si>
    <t>Emanuel Martins</t>
  </si>
  <si>
    <t>Dra. Mariane Novaes</t>
  </si>
  <si>
    <t>Srta. Juliana Pires</t>
  </si>
  <si>
    <t>Calebe Azevedo</t>
  </si>
  <si>
    <t>Ana Laura Alves</t>
  </si>
  <si>
    <t>Isabelly Teixeira</t>
  </si>
  <si>
    <t>Caroline da Conceição</t>
  </si>
  <si>
    <t>Melissa Moreira</t>
  </si>
  <si>
    <t>Dr. João Pedro Porto</t>
  </si>
  <si>
    <t>Sra. Vitória Almeida</t>
  </si>
  <si>
    <t>Milena Oliveira</t>
  </si>
  <si>
    <t>Lucas da Conceição</t>
  </si>
  <si>
    <t>Letícia Castro</t>
  </si>
  <si>
    <t>Sabrina Moraes</t>
  </si>
  <si>
    <t>Laura Dias</t>
  </si>
  <si>
    <t>Dr. Benício Martins</t>
  </si>
  <si>
    <t>Ana Sophia da Mata</t>
  </si>
  <si>
    <t>Elisa da Luz</t>
  </si>
  <si>
    <t>André da Cruz</t>
  </si>
  <si>
    <t>Catarina Nunes</t>
  </si>
  <si>
    <t>Erick Vieira</t>
  </si>
  <si>
    <t>Carolina Farias</t>
  </si>
  <si>
    <t>Isabelly da Paz</t>
  </si>
  <si>
    <t>Isabella Martins</t>
  </si>
  <si>
    <t>Dr. Gustavo Vieira</t>
  </si>
  <si>
    <t>Emanuella Pinto</t>
  </si>
  <si>
    <t>Ana Vitória Carvalho</t>
  </si>
  <si>
    <t>João Felipe da Mota</t>
  </si>
  <si>
    <t>João Miguel Teixeira</t>
  </si>
  <si>
    <t>Lorena Oliveira</t>
  </si>
  <si>
    <t>Dra. Rebeca Costela</t>
  </si>
  <si>
    <t>Srta. Nina Melo</t>
  </si>
  <si>
    <t>Nina Cardoso</t>
  </si>
  <si>
    <t>Sr. Erick Gomes</t>
  </si>
  <si>
    <t>João Guilherme Dias</t>
  </si>
  <si>
    <t>Srta. Raquel Dias</t>
  </si>
  <si>
    <t>Pedro Lucas Carvalho</t>
  </si>
  <si>
    <t>Bianca da Conceição</t>
  </si>
  <si>
    <t>Beatriz da Conceição</t>
  </si>
  <si>
    <t>Maria Alice Nogueira</t>
  </si>
  <si>
    <t>Luiz Henrique Sales</t>
  </si>
  <si>
    <t>Levi da Cruz</t>
  </si>
  <si>
    <t>Sr. Davi Lucca Sales</t>
  </si>
  <si>
    <t>Marcos Vinicius Alves</t>
  </si>
  <si>
    <t>Enzo Pinto</t>
  </si>
  <si>
    <t>Ana Beatriz da Rosa</t>
  </si>
  <si>
    <t>Davi Lucca Souza</t>
  </si>
  <si>
    <t>Maria Sophia Novaes</t>
  </si>
  <si>
    <t>Vitor Hugo Araújo</t>
  </si>
  <si>
    <t>Emilly da Cunha</t>
  </si>
  <si>
    <t>Alana Oliveira</t>
  </si>
  <si>
    <t>Maria Lima</t>
  </si>
  <si>
    <t>Alice Barros</t>
  </si>
  <si>
    <t>Thales Cardoso</t>
  </si>
  <si>
    <t>Sofia Rezende</t>
  </si>
  <si>
    <t>Vitor Gabriel Silva</t>
  </si>
  <si>
    <t>Marcelo Cavalcanti</t>
  </si>
  <si>
    <t>Caio da Conceição</t>
  </si>
  <si>
    <t>Dr. Daniel Cavalcanti</t>
  </si>
  <si>
    <t>Davi Luiz Aragão</t>
  </si>
  <si>
    <t>Dr. Pedro Lucas da Cruz</t>
  </si>
  <si>
    <t>Maria Fernanda Monteiro</t>
  </si>
  <si>
    <t>Davi Cavalcanti</t>
  </si>
  <si>
    <t>Thiago Lopes</t>
  </si>
  <si>
    <t>Sra. Lorena Melo</t>
  </si>
  <si>
    <t>Luiz Fernando da Cunha</t>
  </si>
  <si>
    <t>Maria Julia Melo</t>
  </si>
  <si>
    <t>Yago Farias</t>
  </si>
  <si>
    <t>Alexandre Azevedo</t>
  </si>
  <si>
    <t>Rebeca Carvalho</t>
  </si>
  <si>
    <t>Dr. João das Neves</t>
  </si>
  <si>
    <t>Theo Viana</t>
  </si>
  <si>
    <t>Pedro das Neves</t>
  </si>
  <si>
    <t>Leonardo Castro</t>
  </si>
  <si>
    <t>Alícia Freitas</t>
  </si>
  <si>
    <t>Henrique Barbosa</t>
  </si>
  <si>
    <t>Luana da Cunha</t>
  </si>
  <si>
    <t>Giovanna das Neves</t>
  </si>
  <si>
    <t>Juliana Barbosa</t>
  </si>
  <si>
    <t>Nicole da Mata</t>
  </si>
  <si>
    <t>Noah Castro</t>
  </si>
  <si>
    <t>Thales da Conceição</t>
  </si>
  <si>
    <t>Ian Porto</t>
  </si>
  <si>
    <t>Maria Vitória Porto</t>
  </si>
  <si>
    <t>Joana Martins</t>
  </si>
  <si>
    <t>Marcelo Campos</t>
  </si>
  <si>
    <t>Anthony Dias</t>
  </si>
  <si>
    <t>Stella Freitas</t>
  </si>
  <si>
    <t>Sarah Rezende</t>
  </si>
  <si>
    <t>Isabel Novaes</t>
  </si>
  <si>
    <t>Lucas Gabriel Rezende</t>
  </si>
  <si>
    <t>Eduarda Jesus</t>
  </si>
  <si>
    <t>Raquel Freitas</t>
  </si>
  <si>
    <t>Valentina Teixeira</t>
  </si>
  <si>
    <t>Rafael Castro</t>
  </si>
  <si>
    <t>Srta. Milena Pires</t>
  </si>
  <si>
    <t>Daniel Novaes</t>
  </si>
  <si>
    <t>Emanuelly Ribeiro</t>
  </si>
  <si>
    <t>João Vitor Pereira</t>
  </si>
  <si>
    <t>Leandro Campos</t>
  </si>
  <si>
    <t>Davi Lucca Ribeiro</t>
  </si>
  <si>
    <t>Sr. Gabriel Costela</t>
  </si>
  <si>
    <t>Erick Monteiro</t>
  </si>
  <si>
    <t>Dr. Yuri Moreira</t>
  </si>
  <si>
    <t>Luana Souza</t>
  </si>
  <si>
    <t>Samuel da Mota</t>
  </si>
  <si>
    <t>Otávio Correia</t>
  </si>
  <si>
    <t>Cecília Aragão</t>
  </si>
  <si>
    <t>Dr. Davi Lucca Pires</t>
  </si>
  <si>
    <t>Sabrina Lopes</t>
  </si>
  <si>
    <t>Theo Silva</t>
  </si>
  <si>
    <t>Pedro Henrique Pinto</t>
  </si>
  <si>
    <t>Sofia Peixoto</t>
  </si>
  <si>
    <t>Srta. Sophie Pires</t>
  </si>
  <si>
    <t>Dr. Caio Moreira</t>
  </si>
  <si>
    <t>Catarina Cavalcanti</t>
  </si>
  <si>
    <t>Luigi Duarte</t>
  </si>
  <si>
    <t>Dra. Maria Fernanda Ferreira</t>
  </si>
  <si>
    <t>Mirella Melo</t>
  </si>
  <si>
    <t>Antônio Nunes</t>
  </si>
  <si>
    <t>Paulo Moura</t>
  </si>
  <si>
    <t>Luiz Felipe da Rocha</t>
  </si>
  <si>
    <t>Diego Dias</t>
  </si>
  <si>
    <t>João Vitor Rocha</t>
  </si>
  <si>
    <t>Enzo Caldeira</t>
  </si>
  <si>
    <t>Emanuelly Aragão</t>
  </si>
  <si>
    <t>Raul Lima</t>
  </si>
  <si>
    <t>Maitê Jesus</t>
  </si>
  <si>
    <t>Erick Cardoso</t>
  </si>
  <si>
    <t>Davi Cunha</t>
  </si>
  <si>
    <t>Fernando da Rocha</t>
  </si>
  <si>
    <t>Luana Rodrigues</t>
  </si>
  <si>
    <t>João Felipe Araújo</t>
  </si>
  <si>
    <t>Juan Costa</t>
  </si>
  <si>
    <t>Esther da Conceição</t>
  </si>
  <si>
    <t>Dr. João Gabriel Correia</t>
  </si>
  <si>
    <t>TI</t>
  </si>
  <si>
    <t>Vendas</t>
  </si>
  <si>
    <t>Operações</t>
  </si>
  <si>
    <t>Financeiro</t>
  </si>
  <si>
    <t>RH</t>
  </si>
  <si>
    <t>Marketing</t>
  </si>
  <si>
    <t>Assistente</t>
  </si>
  <si>
    <t>Analista</t>
  </si>
  <si>
    <t>Desenvolvedor</t>
  </si>
  <si>
    <t>Gerente</t>
  </si>
  <si>
    <t>Especialista</t>
  </si>
  <si>
    <t>M</t>
  </si>
  <si>
    <t>F</t>
  </si>
  <si>
    <t>Não</t>
  </si>
  <si>
    <t>Sim</t>
  </si>
  <si>
    <t>Rótulos de Linha</t>
  </si>
  <si>
    <t>Total Geral</t>
  </si>
  <si>
    <t>Contagem de Rotatividade</t>
  </si>
  <si>
    <t>Turnover</t>
  </si>
  <si>
    <t>Contagem de ID</t>
  </si>
  <si>
    <t>Média de Satisfação no Trabalho</t>
  </si>
  <si>
    <t>Média de Salário</t>
  </si>
  <si>
    <t>Total de funcionários</t>
  </si>
  <si>
    <t>Média Geral de Satisfação</t>
  </si>
  <si>
    <t>Total Folha de Pagamento</t>
  </si>
  <si>
    <t>Soma de Salário</t>
  </si>
  <si>
    <t>Soma de Anos na Empresa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</si>
</sst>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 applyAlignment="1">
      <alignment horizontal="left"/>
    </xf>
    <xf numFmtId="0" fontId="0" fillId="0" borderId="11" xfId="0" applyNumberFormat="1" applyBorder="1"/>
    <xf numFmtId="0" fontId="0" fillId="0" borderId="0" xfId="0" applyBorder="1"/>
    <xf numFmtId="0" fontId="0" fillId="0" borderId="0" xfId="0" pivotButton="1" applyBorder="1"/>
    <xf numFmtId="0" fontId="2" fillId="0" borderId="0" xfId="0" applyFont="1" applyBorder="1" applyAlignment="1">
      <alignment horizontal="left"/>
    </xf>
    <xf numFmtId="0" fontId="2" fillId="0" borderId="0" xfId="0" applyNumberFormat="1" applyFont="1" applyBorder="1"/>
    <xf numFmtId="0" fontId="2" fillId="0" borderId="0" xfId="0" pivotButton="1" applyFont="1" applyBorder="1"/>
    <xf numFmtId="0" fontId="2" fillId="0" borderId="0" xfId="0" applyFont="1" applyBorder="1"/>
    <xf numFmtId="0" fontId="2" fillId="0" borderId="0" xfId="0" applyFont="1" applyFill="1" applyBorder="1" applyAlignment="1">
      <alignment horizontal="left"/>
    </xf>
    <xf numFmtId="44" fontId="2" fillId="0" borderId="0" xfId="0" applyNumberFormat="1" applyFont="1" applyFill="1" applyBorder="1"/>
  </cellXfs>
  <cellStyles count="1">
    <cellStyle name="Normal" xfId="0" builtinId="0"/>
  </cellStyles>
  <dxfs count="32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0"/>
      </font>
    </dxf>
    <dxf>
      <font>
        <color theme="0"/>
      </font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2" formatCode="0.00"/>
    </dxf>
    <dxf>
      <numFmt numFmtId="34" formatCode="_-&quot;R$&quot;\ * #,##0.00_-;\-&quot;R$&quot;\ * #,##0.00_-;_-&quot;R$&quot;\ * &quot;-&quot;??_-;_-@_-"/>
    </dxf>
    <dxf>
      <numFmt numFmtId="2" formatCode="0.00"/>
    </dxf>
  </dxfs>
  <tableStyles count="1" defaultTableStyle="TableStyleMedium9" defaultPivotStyle="PivotStyleLight16">
    <tableStyle name="Estilo de Tabela Dinâmica 1" table="0" count="0" xr9:uid="{548C981D-98E8-48E9-A561-F7BE456E850F}"/>
  </tableStyles>
  <colors>
    <mruColors>
      <color rgb="FF65D7FF"/>
      <color rgb="FFBBCF10"/>
      <color rgb="FFFF3333"/>
      <color rgb="FFFF5B5B"/>
      <color rgb="FF999999"/>
      <color rgb="FF2E2E2E"/>
      <color rgb="FF3A3A3A"/>
      <color rgb="FF303030"/>
      <color rgb="FF282828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[Dashboard_RH_2024_Excel.xlsm]% Turnover!Turnover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8504374453193351E-2"/>
              <c:y val="-0.223937372411781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5200349956255422E-2"/>
              <c:y val="0.159812992125984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8504374453193351E-2"/>
              <c:y val="-0.223937372411781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5200349956255422E-2"/>
              <c:y val="0.159812992125984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1">
              <a:lumMod val="50000"/>
            </a:schemeClr>
          </a:solidFill>
          <a:ln w="19050">
            <a:solidFill>
              <a:schemeClr val="lt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BBCF10"/>
          </a:solidFill>
          <a:ln w="19050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dLbl>
          <c:idx val="0"/>
          <c:layout>
            <c:manualLayout>
              <c:x val="-0.12725391306071784"/>
              <c:y val="-0.29106681977252846"/>
            </c:manualLayout>
          </c:layout>
          <c:tx>
            <c:rich>
              <a:bodyPr rot="0" spcFirstLastPara="1" vertOverflow="ellipsis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fld id="{B697C109-415F-4FEC-AEAF-A27345270B4A}" type="CATEGORYNAME">
                  <a:rPr lang="en-US" sz="1200"/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t>[NOME DA CATEGORIA]</a:t>
                </a:fld>
                <a:r>
                  <a:rPr lang="en-US" sz="1200" baseline="0"/>
                  <a:t>
</a:t>
                </a:r>
                <a:fld id="{8C8E6B77-81A5-44CD-802B-3A0B70D280A0}" type="PERCENTAGE">
                  <a:rPr lang="en-US" sz="1200" baseline="0"/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t>[PORCENTAGEM]</a:t>
                </a:fld>
                <a:endParaRPr lang="en-US" sz="12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050637665611876"/>
                  <c:h val="0.21282407407407408"/>
                </c:manualLayout>
              </c15:layout>
              <c15:dlblFieldTable/>
              <c15:showDataLabelsRange val="0"/>
            </c:ext>
          </c:extLst>
        </c:dLbl>
      </c:pivotFmt>
      <c:pivotFmt>
        <c:idx val="8"/>
        <c:spPr>
          <a:solidFill>
            <a:srgbClr val="65D7FF"/>
          </a:solidFill>
          <a:ln w="19050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dLbl>
          <c:idx val="0"/>
          <c:layout>
            <c:manualLayout>
              <c:x val="0.10597397791217518"/>
              <c:y val="0.1922203995333916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'% Turnover'!$B$3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explosion val="2"/>
            <c:spPr>
              <a:solidFill>
                <a:srgbClr val="BBCF10"/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507-4C6C-B88A-557C74F1C440}"/>
              </c:ext>
            </c:extLst>
          </c:dPt>
          <c:dPt>
            <c:idx val="1"/>
            <c:bubble3D val="0"/>
            <c:spPr>
              <a:solidFill>
                <a:srgbClr val="65D7FF"/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507-4C6C-B88A-557C74F1C440}"/>
              </c:ext>
            </c:extLst>
          </c:dPt>
          <c:dLbls>
            <c:dLbl>
              <c:idx val="0"/>
              <c:layout>
                <c:manualLayout>
                  <c:x val="-0.12725391306071784"/>
                  <c:y val="-0.29106681977252846"/>
                </c:manualLayout>
              </c:layout>
              <c:tx>
                <c:rich>
                  <a:bodyPr rot="0" spcFirstLastPara="1" vertOverflow="ellipsis" horzOverflow="clip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697C109-415F-4FEC-AEAF-A27345270B4A}" type="CATEGORYNAME">
                      <a:rPr lang="en-US" sz="1200"/>
                      <a:pPr>
                        <a:defRPr sz="900" b="0" i="0" u="none" strike="noStrike" kern="1200" baseline="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[NOME DA CATEGORIA]</a:t>
                    </a:fld>
                    <a:r>
                      <a:rPr lang="en-US" sz="1200" baseline="0"/>
                      <a:t>
</a:t>
                    </a:r>
                    <a:fld id="{8C8E6B77-81A5-44CD-802B-3A0B70D280A0}" type="PERCENTAGE">
                      <a:rPr lang="en-US" sz="1200" baseline="0"/>
                      <a:pPr>
                        <a:defRPr sz="900" b="0" i="0" u="none" strike="noStrike" kern="1200" baseline="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[PORCENTAGEM]</a:t>
                    </a:fld>
                    <a:endParaRPr lang="en-US" sz="12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050637665611876"/>
                      <c:h val="0.21282407407407408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507-4C6C-B88A-557C74F1C440}"/>
                </c:ext>
              </c:extLst>
            </c:dLbl>
            <c:dLbl>
              <c:idx val="1"/>
              <c:layout>
                <c:manualLayout>
                  <c:x val="0.10597397791217518"/>
                  <c:y val="0.1922203995333916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n-US" sz="12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07-4C6C-B88A-557C74F1C4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'% Turnover'!$A$4:$A$6</c:f>
              <c:strCache>
                <c:ptCount val="2"/>
                <c:pt idx="0">
                  <c:v>Não</c:v>
                </c:pt>
                <c:pt idx="1">
                  <c:v>Sim</c:v>
                </c:pt>
              </c:strCache>
            </c:strRef>
          </c:cat>
          <c:val>
            <c:numRef>
              <c:f>'% Turnover'!$B$4:$B$6</c:f>
              <c:numCache>
                <c:formatCode>General</c:formatCode>
                <c:ptCount val="2"/>
                <c:pt idx="0">
                  <c:v>154</c:v>
                </c:pt>
                <c:pt idx="1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7-4C6C-B88A-557C74F1C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[Dashboard_RH_2024_Excel.xlsm]Média Salarial por Cargo!Tabela dinâmica6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65D7FF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65D7FF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'Média Salarial por Cargo'!$B$3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5D7FF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'Média Salarial por Cargo'!$A$4:$A$10</c:f>
              <c:strCache>
                <c:ptCount val="6"/>
                <c:pt idx="0">
                  <c:v>Financeiro</c:v>
                </c:pt>
                <c:pt idx="1">
                  <c:v>TI</c:v>
                </c:pt>
                <c:pt idx="2">
                  <c:v>Marketing</c:v>
                </c:pt>
                <c:pt idx="3">
                  <c:v>Vendas</c:v>
                </c:pt>
                <c:pt idx="4">
                  <c:v>Operações</c:v>
                </c:pt>
                <c:pt idx="5">
                  <c:v>RH</c:v>
                </c:pt>
              </c:strCache>
            </c:strRef>
          </c:cat>
          <c:val>
            <c:numRef>
              <c:f>'Média Salarial por Cargo'!$B$4:$B$10</c:f>
              <c:numCache>
                <c:formatCode>_("R$"* #,##0.00_);_("R$"* \(#,##0.00\);_("R$"* "-"??_);_(@_)</c:formatCode>
                <c:ptCount val="6"/>
                <c:pt idx="0">
                  <c:v>7122.636363636364</c:v>
                </c:pt>
                <c:pt idx="1">
                  <c:v>6925.2666666666664</c:v>
                </c:pt>
                <c:pt idx="2">
                  <c:v>6028.7241379310344</c:v>
                </c:pt>
                <c:pt idx="3">
                  <c:v>5109.204545454545</c:v>
                </c:pt>
                <c:pt idx="4">
                  <c:v>5063.913043478261</c:v>
                </c:pt>
                <c:pt idx="5">
                  <c:v>4139.0769230769229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85-47EF-A5E2-6A528F4CF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0819823"/>
        <c:axId val="800825647"/>
      </c:barChart>
      <c:catAx>
        <c:axId val="800819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0825647"/>
        <c:crosses val="autoZero"/>
        <c:auto val="1"/>
        <c:lblAlgn val="ctr"/>
        <c:lblOffset val="100"/>
        <c:noMultiLvlLbl val="0"/>
      </c:catAx>
      <c:valAx>
        <c:axId val="800825647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800819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1"/>
          <c:order val="0"/>
          <c:tx>
            <c:v>valores</c:v>
          </c:tx>
          <c:spPr>
            <a:solidFill>
              <a:srgbClr val="BBCF1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'Turnover por Depart-&gt;cargo'!$A$4:$A$9</c:f>
              <c:strCache>
                <c:ptCount val="6"/>
                <c:pt idx="0">
                  <c:v>TI</c:v>
                </c:pt>
                <c:pt idx="1">
                  <c:v>RH</c:v>
                </c:pt>
                <c:pt idx="2">
                  <c:v>Marketing</c:v>
                </c:pt>
                <c:pt idx="3">
                  <c:v>Vendas</c:v>
                </c:pt>
                <c:pt idx="4">
                  <c:v>Operações</c:v>
                </c:pt>
                <c:pt idx="5">
                  <c:v>Financeiro</c:v>
                </c:pt>
              </c:strCache>
            </c:strRef>
          </c:cat>
          <c:val>
            <c:numRef>
              <c:f>'Turnover por Depart-&gt;cargo'!$B$4:$B$9</c:f>
              <c:numCache>
                <c:formatCode>General</c:formatCode>
                <c:ptCount val="6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BD-4493-8702-55367C58CE91}"/>
            </c:ext>
          </c:extLst>
        </c:ser>
        <c:ser>
          <c:idx val="0"/>
          <c:order val="1"/>
          <c:tx>
            <c:v>rotulos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'Turnover por Depart-&gt;cargo'!$A$4:$A$9</c:f>
              <c:strCache>
                <c:ptCount val="6"/>
                <c:pt idx="0">
                  <c:v>TI</c:v>
                </c:pt>
                <c:pt idx="1">
                  <c:v>RH</c:v>
                </c:pt>
                <c:pt idx="2">
                  <c:v>Marketing</c:v>
                </c:pt>
                <c:pt idx="3">
                  <c:v>Vendas</c:v>
                </c:pt>
                <c:pt idx="4">
                  <c:v>Operações</c:v>
                </c:pt>
                <c:pt idx="5">
                  <c:v>Financeiro</c:v>
                </c:pt>
              </c:strCache>
            </c:strRef>
          </c:cat>
          <c:val>
            <c:numRef>
              <c:f>'Turnover por Depart-&gt;cargo'!$A$4:$A$9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BD-4493-8702-55367C58CE91}"/>
            </c:ext>
          </c:extLst>
        </c:ser>
        <c:ser>
          <c:idx val="2"/>
          <c:order val="2"/>
          <c:tx>
            <c:v>maior turnover</c:v>
          </c:tx>
          <c:spPr>
            <a:solidFill>
              <a:srgbClr val="FF3333"/>
            </a:solidFill>
            <a:ln>
              <a:noFill/>
            </a:ln>
            <a:effectLst/>
          </c:spPr>
          <c:invertIfNegative val="0"/>
          <c:val>
            <c:numRef>
              <c:f>'Turnover por Depart-&gt;cargo'!$C$4:$C$9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BD-4493-8702-55367C58C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303984511"/>
        <c:axId val="303989087"/>
      </c:barChart>
      <c:catAx>
        <c:axId val="3039845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3989087"/>
        <c:crosses val="autoZero"/>
        <c:auto val="1"/>
        <c:lblAlgn val="ctr"/>
        <c:lblOffset val="100"/>
        <c:noMultiLvlLbl val="0"/>
      </c:catAx>
      <c:valAx>
        <c:axId val="30398908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039845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Media de satisfação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'Média satisfação por depart'!$A$4:$A$9</c:f>
              <c:strCache>
                <c:ptCount val="6"/>
                <c:pt idx="0">
                  <c:v>Operações</c:v>
                </c:pt>
                <c:pt idx="1">
                  <c:v>TI</c:v>
                </c:pt>
                <c:pt idx="2">
                  <c:v>Vendas</c:v>
                </c:pt>
                <c:pt idx="3">
                  <c:v>RH</c:v>
                </c:pt>
                <c:pt idx="4">
                  <c:v>Financeiro</c:v>
                </c:pt>
                <c:pt idx="5">
                  <c:v>Marketing</c:v>
                </c:pt>
              </c:strCache>
            </c:strRef>
          </c:cat>
          <c:val>
            <c:numRef>
              <c:f>'Média satisfação por depart'!$A$4:$A$9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DA-47DB-A8AE-19D0DBCFE55C}"/>
            </c:ext>
          </c:extLst>
        </c:ser>
        <c:ser>
          <c:idx val="1"/>
          <c:order val="1"/>
          <c:tx>
            <c:v>valores</c:v>
          </c:tx>
          <c:spPr>
            <a:solidFill>
              <a:srgbClr val="65D7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'Média satisfação por depart'!$A$4:$A$9</c:f>
              <c:strCache>
                <c:ptCount val="6"/>
                <c:pt idx="0">
                  <c:v>Operações</c:v>
                </c:pt>
                <c:pt idx="1">
                  <c:v>TI</c:v>
                </c:pt>
                <c:pt idx="2">
                  <c:v>Vendas</c:v>
                </c:pt>
                <c:pt idx="3">
                  <c:v>RH</c:v>
                </c:pt>
                <c:pt idx="4">
                  <c:v>Financeiro</c:v>
                </c:pt>
                <c:pt idx="5">
                  <c:v>Marketing</c:v>
                </c:pt>
              </c:strCache>
            </c:strRef>
          </c:cat>
          <c:val>
            <c:numRef>
              <c:f>'Média satisfação por depart'!$B$4:$B$9</c:f>
              <c:numCache>
                <c:formatCode>0.00</c:formatCode>
                <c:ptCount val="6"/>
                <c:pt idx="0">
                  <c:v>3.6956521739130435</c:v>
                </c:pt>
                <c:pt idx="1">
                  <c:v>3.3777777777777778</c:v>
                </c:pt>
                <c:pt idx="2">
                  <c:v>3.25</c:v>
                </c:pt>
                <c:pt idx="3">
                  <c:v>3</c:v>
                </c:pt>
                <c:pt idx="4">
                  <c:v>2.8484848484848486</c:v>
                </c:pt>
                <c:pt idx="5">
                  <c:v>2.7931034482758621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DA-47DB-A8AE-19D0DBCFE55C}"/>
            </c:ext>
          </c:extLst>
        </c:ser>
        <c:ser>
          <c:idx val="2"/>
          <c:order val="2"/>
          <c:tx>
            <c:v>valor mínimo</c:v>
          </c:tx>
          <c:spPr>
            <a:solidFill>
              <a:srgbClr val="FF3333"/>
            </a:solidFill>
            <a:ln>
              <a:noFill/>
            </a:ln>
            <a:effectLst/>
          </c:spPr>
          <c:invertIfNegative val="0"/>
          <c:val>
            <c:numRef>
              <c:f>'Média satisfação por depart'!$C$4:$C$9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2.7931034482758621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DA-47DB-A8AE-19D0DBCFE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304002399"/>
        <c:axId val="303999071"/>
      </c:barChart>
      <c:catAx>
        <c:axId val="3040023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3999071"/>
        <c:crosses val="autoZero"/>
        <c:auto val="1"/>
        <c:lblAlgn val="ctr"/>
        <c:lblOffset val="100"/>
        <c:noMultiLvlLbl val="0"/>
      </c:catAx>
      <c:valAx>
        <c:axId val="30399907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04002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chart" Target="../charts/chart1.xml"/><Relationship Id="rId7" Type="http://schemas.openxmlformats.org/officeDocument/2006/relationships/chart" Target="../charts/chart3.xml"/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Relationship Id="rId6" Type="http://schemas.openxmlformats.org/officeDocument/2006/relationships/image" Target="../media/image3.emf"/><Relationship Id="rId5" Type="http://schemas.openxmlformats.org/officeDocument/2006/relationships/image" Target="../media/image2.emf"/><Relationship Id="rId4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347870</xdr:colOff>
      <xdr:row>43</xdr:row>
      <xdr:rowOff>88500</xdr:rowOff>
    </xdr:to>
    <xdr:sp macro="" textlink="">
      <xdr:nvSpPr>
        <xdr:cNvPr id="8" name="Plano de fundo">
          <a:extLst>
            <a:ext uri="{FF2B5EF4-FFF2-40B4-BE49-F238E27FC236}">
              <a16:creationId xmlns:a16="http://schemas.microsoft.com/office/drawing/2014/main" id="{35BC4ACA-2604-5AA8-1197-48C4E5B2A434}"/>
            </a:ext>
          </a:extLst>
        </xdr:cNvPr>
        <xdr:cNvSpPr/>
      </xdr:nvSpPr>
      <xdr:spPr>
        <a:xfrm>
          <a:off x="0" y="0"/>
          <a:ext cx="15629283" cy="8280000"/>
        </a:xfrm>
        <a:prstGeom prst="rect">
          <a:avLst/>
        </a:prstGeom>
        <a:solidFill>
          <a:srgbClr val="2E2E2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56023</xdr:colOff>
      <xdr:row>4</xdr:row>
      <xdr:rowOff>162292</xdr:rowOff>
    </xdr:from>
    <xdr:to>
      <xdr:col>15</xdr:col>
      <xdr:colOff>11203</xdr:colOff>
      <xdr:row>27</xdr:row>
      <xdr:rowOff>56030</xdr:rowOff>
    </xdr:to>
    <xdr:sp macro="" textlink="">
      <xdr:nvSpPr>
        <xdr:cNvPr id="18" name="Preenchimento geral people graph">
          <a:extLst>
            <a:ext uri="{FF2B5EF4-FFF2-40B4-BE49-F238E27FC236}">
              <a16:creationId xmlns:a16="http://schemas.microsoft.com/office/drawing/2014/main" id="{00AFBE25-00D1-4FE1-A2CF-1AED77EE15D5}"/>
            </a:ext>
          </a:extLst>
        </xdr:cNvPr>
        <xdr:cNvSpPr/>
      </xdr:nvSpPr>
      <xdr:spPr>
        <a:xfrm>
          <a:off x="3675523" y="924292"/>
          <a:ext cx="6006356" cy="4275238"/>
        </a:xfrm>
        <a:prstGeom prst="roundRect">
          <a:avLst>
            <a:gd name="adj" fmla="val 0"/>
          </a:avLst>
        </a:prstGeom>
        <a:solidFill>
          <a:srgbClr val="3A3A3A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486943</xdr:colOff>
      <xdr:row>0</xdr:row>
      <xdr:rowOff>101258</xdr:rowOff>
    </xdr:from>
    <xdr:to>
      <xdr:col>14</xdr:col>
      <xdr:colOff>204359</xdr:colOff>
      <xdr:row>20</xdr:row>
      <xdr:rowOff>82921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" name="People Graph" title="People Graph">
              <a:extLst>
                <a:ext uri="{FF2B5EF4-FFF2-40B4-BE49-F238E27FC236}">
                  <a16:creationId xmlns:a16="http://schemas.microsoft.com/office/drawing/2014/main" id="{11677639-0FC6-F2F8-42FB-6242E8BB6CDD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4" name="People Graph" title="People Graph">
              <a:extLst>
                <a:ext uri="{FF2B5EF4-FFF2-40B4-BE49-F238E27FC236}">
                  <a16:creationId xmlns:a16="http://schemas.microsoft.com/office/drawing/2014/main" id="{11677639-0FC6-F2F8-42FB-6242E8BB6CD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4</xdr:col>
      <xdr:colOff>313763</xdr:colOff>
      <xdr:row>0</xdr:row>
      <xdr:rowOff>63055</xdr:rowOff>
    </xdr:from>
    <xdr:to>
      <xdr:col>14</xdr:col>
      <xdr:colOff>230971</xdr:colOff>
      <xdr:row>4</xdr:row>
      <xdr:rowOff>161870</xdr:rowOff>
    </xdr:to>
    <xdr:sp macro="" textlink="">
      <xdr:nvSpPr>
        <xdr:cNvPr id="14" name="Preenchimento 2">
          <a:extLst>
            <a:ext uri="{FF2B5EF4-FFF2-40B4-BE49-F238E27FC236}">
              <a16:creationId xmlns:a16="http://schemas.microsoft.com/office/drawing/2014/main" id="{AE015AEE-6D9D-9B30-92C4-BFC1ABB85B79}"/>
            </a:ext>
          </a:extLst>
        </xdr:cNvPr>
        <xdr:cNvSpPr/>
      </xdr:nvSpPr>
      <xdr:spPr>
        <a:xfrm>
          <a:off x="3335786" y="63055"/>
          <a:ext cx="6021867" cy="860815"/>
        </a:xfrm>
        <a:prstGeom prst="rect">
          <a:avLst/>
        </a:prstGeom>
        <a:solidFill>
          <a:srgbClr val="2E2E2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309277</xdr:colOff>
      <xdr:row>0</xdr:row>
      <xdr:rowOff>11206</xdr:rowOff>
    </xdr:from>
    <xdr:to>
      <xdr:col>5</xdr:col>
      <xdr:colOff>60708</xdr:colOff>
      <xdr:row>22</xdr:row>
      <xdr:rowOff>49306</xdr:rowOff>
    </xdr:to>
    <xdr:sp macro="" textlink="">
      <xdr:nvSpPr>
        <xdr:cNvPr id="15" name="Preenchimento 1">
          <a:extLst>
            <a:ext uri="{FF2B5EF4-FFF2-40B4-BE49-F238E27FC236}">
              <a16:creationId xmlns:a16="http://schemas.microsoft.com/office/drawing/2014/main" id="{CF762528-077D-4652-9741-3E7FB192A040}"/>
            </a:ext>
          </a:extLst>
        </xdr:cNvPr>
        <xdr:cNvSpPr/>
      </xdr:nvSpPr>
      <xdr:spPr>
        <a:xfrm rot="5400000">
          <a:off x="1387384" y="1947481"/>
          <a:ext cx="4229100" cy="356549"/>
        </a:xfrm>
        <a:prstGeom prst="rect">
          <a:avLst/>
        </a:prstGeom>
        <a:solidFill>
          <a:srgbClr val="2E2E2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593908</xdr:colOff>
      <xdr:row>4</xdr:row>
      <xdr:rowOff>177930</xdr:rowOff>
    </xdr:from>
    <xdr:to>
      <xdr:col>14</xdr:col>
      <xdr:colOff>50385</xdr:colOff>
      <xdr:row>7</xdr:row>
      <xdr:rowOff>65871</xdr:rowOff>
    </xdr:to>
    <xdr:sp macro="" textlink="">
      <xdr:nvSpPr>
        <xdr:cNvPr id="16" name="Titulo TurnOver">
          <a:extLst>
            <a:ext uri="{FF2B5EF4-FFF2-40B4-BE49-F238E27FC236}">
              <a16:creationId xmlns:a16="http://schemas.microsoft.com/office/drawing/2014/main" id="{F2B53EAF-81D6-F498-85FF-3C6A6E16503B}"/>
            </a:ext>
          </a:extLst>
        </xdr:cNvPr>
        <xdr:cNvSpPr txBox="1"/>
      </xdr:nvSpPr>
      <xdr:spPr>
        <a:xfrm>
          <a:off x="4229973" y="939930"/>
          <a:ext cx="4972695" cy="45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TurnOver</a:t>
          </a:r>
        </a:p>
      </xdr:txBody>
    </xdr:sp>
    <xdr:clientData/>
  </xdr:twoCellAnchor>
  <xdr:twoCellAnchor>
    <xdr:from>
      <xdr:col>6</xdr:col>
      <xdr:colOff>436116</xdr:colOff>
      <xdr:row>14</xdr:row>
      <xdr:rowOff>119312</xdr:rowOff>
    </xdr:from>
    <xdr:to>
      <xdr:col>7</xdr:col>
      <xdr:colOff>589381</xdr:colOff>
      <xdr:row>16</xdr:row>
      <xdr:rowOff>166494</xdr:rowOff>
    </xdr:to>
    <xdr:sp macro="" textlink="">
      <xdr:nvSpPr>
        <xdr:cNvPr id="26" name="Texto Sim">
          <a:extLst>
            <a:ext uri="{FF2B5EF4-FFF2-40B4-BE49-F238E27FC236}">
              <a16:creationId xmlns:a16="http://schemas.microsoft.com/office/drawing/2014/main" id="{E87E99E7-0890-0AE2-3F70-06399C5C753C}"/>
            </a:ext>
          </a:extLst>
        </xdr:cNvPr>
        <xdr:cNvSpPr txBox="1"/>
      </xdr:nvSpPr>
      <xdr:spPr>
        <a:xfrm>
          <a:off x="4685094" y="2786312"/>
          <a:ext cx="766178" cy="4281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i="1">
              <a:solidFill>
                <a:schemeClr val="bg1"/>
              </a:solidFill>
            </a:rPr>
            <a:t>Sim</a:t>
          </a:r>
        </a:p>
      </xdr:txBody>
    </xdr:sp>
    <xdr:clientData/>
  </xdr:twoCellAnchor>
  <xdr:twoCellAnchor>
    <xdr:from>
      <xdr:col>6</xdr:col>
      <xdr:colOff>447082</xdr:colOff>
      <xdr:row>10</xdr:row>
      <xdr:rowOff>38982</xdr:rowOff>
    </xdr:from>
    <xdr:to>
      <xdr:col>7</xdr:col>
      <xdr:colOff>608142</xdr:colOff>
      <xdr:row>12</xdr:row>
      <xdr:rowOff>86164</xdr:rowOff>
    </xdr:to>
    <xdr:sp macro="" textlink="">
      <xdr:nvSpPr>
        <xdr:cNvPr id="27" name="Texto Não">
          <a:extLst>
            <a:ext uri="{FF2B5EF4-FFF2-40B4-BE49-F238E27FC236}">
              <a16:creationId xmlns:a16="http://schemas.microsoft.com/office/drawing/2014/main" id="{5E2836CE-0C53-2121-7CA6-541249CDF15E}"/>
            </a:ext>
          </a:extLst>
        </xdr:cNvPr>
        <xdr:cNvSpPr txBox="1"/>
      </xdr:nvSpPr>
      <xdr:spPr>
        <a:xfrm>
          <a:off x="4696060" y="1943982"/>
          <a:ext cx="773973" cy="4281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i="1">
              <a:solidFill>
                <a:schemeClr val="bg1"/>
              </a:solidFill>
            </a:rPr>
            <a:t>Não</a:t>
          </a:r>
        </a:p>
      </xdr:txBody>
    </xdr:sp>
    <xdr:clientData/>
  </xdr:twoCellAnchor>
  <xdr:twoCellAnchor>
    <xdr:from>
      <xdr:col>6</xdr:col>
      <xdr:colOff>555539</xdr:colOff>
      <xdr:row>14</xdr:row>
      <xdr:rowOff>179294</xdr:rowOff>
    </xdr:from>
    <xdr:to>
      <xdr:col>13</xdr:col>
      <xdr:colOff>110232</xdr:colOff>
      <xdr:row>27</xdr:row>
      <xdr:rowOff>100854</xdr:rowOff>
    </xdr:to>
    <xdr:graphicFrame macro="">
      <xdr:nvGraphicFramePr>
        <xdr:cNvPr id="3" name="Gráfico de Pizza">
          <a:extLst>
            <a:ext uri="{FF2B5EF4-FFF2-40B4-BE49-F238E27FC236}">
              <a16:creationId xmlns:a16="http://schemas.microsoft.com/office/drawing/2014/main" id="{5979B620-D798-4D41-A14D-CDE325E67E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76200</xdr:colOff>
      <xdr:row>0</xdr:row>
      <xdr:rowOff>132790</xdr:rowOff>
    </xdr:from>
    <xdr:to>
      <xdr:col>24</xdr:col>
      <xdr:colOff>257174</xdr:colOff>
      <xdr:row>4</xdr:row>
      <xdr:rowOff>43143</xdr:rowOff>
    </xdr:to>
    <xdr:sp macro="" textlink="">
      <xdr:nvSpPr>
        <xdr:cNvPr id="19" name="Titulo Principal">
          <a:extLst>
            <a:ext uri="{FF2B5EF4-FFF2-40B4-BE49-F238E27FC236}">
              <a16:creationId xmlns:a16="http://schemas.microsoft.com/office/drawing/2014/main" id="{9196F84E-DF7A-9BA6-E5C2-6F4F5F21BCE5}"/>
            </a:ext>
          </a:extLst>
        </xdr:cNvPr>
        <xdr:cNvSpPr txBox="1"/>
      </xdr:nvSpPr>
      <xdr:spPr>
        <a:xfrm>
          <a:off x="76200" y="132790"/>
          <a:ext cx="15392399" cy="6723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3200">
              <a:solidFill>
                <a:schemeClr val="bg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Dashboard</a:t>
          </a:r>
          <a:r>
            <a:rPr lang="pt-BR" sz="3200">
              <a:solidFill>
                <a:schemeClr val="bg1"/>
              </a:solidFill>
            </a:rPr>
            <a:t> </a:t>
          </a:r>
          <a:r>
            <a:rPr lang="pt-BR" sz="3200">
              <a:solidFill>
                <a:schemeClr val="bg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RH</a:t>
          </a:r>
          <a:r>
            <a:rPr lang="pt-BR" sz="3200">
              <a:solidFill>
                <a:schemeClr val="bg1"/>
              </a:solidFill>
            </a:rPr>
            <a:t> </a:t>
          </a:r>
          <a:r>
            <a:rPr lang="pt-BR" sz="3200">
              <a:solidFill>
                <a:schemeClr val="bg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2024</a:t>
          </a:r>
        </a:p>
      </xdr:txBody>
    </xdr:sp>
    <xdr:clientData/>
  </xdr:twoCellAnchor>
  <xdr:twoCellAnchor>
    <xdr:from>
      <xdr:col>15</xdr:col>
      <xdr:colOff>190500</xdr:colOff>
      <xdr:row>23</xdr:row>
      <xdr:rowOff>179294</xdr:rowOff>
    </xdr:from>
    <xdr:to>
      <xdr:col>24</xdr:col>
      <xdr:colOff>134472</xdr:colOff>
      <xdr:row>41</xdr:row>
      <xdr:rowOff>179294</xdr:rowOff>
    </xdr:to>
    <xdr:sp macro="" textlink="">
      <xdr:nvSpPr>
        <xdr:cNvPr id="20" name="Fundo Média Satisfação">
          <a:extLst>
            <a:ext uri="{FF2B5EF4-FFF2-40B4-BE49-F238E27FC236}">
              <a16:creationId xmlns:a16="http://schemas.microsoft.com/office/drawing/2014/main" id="{E30714B1-6BF1-430A-801B-9E7C79DDC7C8}"/>
            </a:ext>
          </a:extLst>
        </xdr:cNvPr>
        <xdr:cNvSpPr/>
      </xdr:nvSpPr>
      <xdr:spPr>
        <a:xfrm>
          <a:off x="9955696" y="4560794"/>
          <a:ext cx="5460189" cy="3429000"/>
        </a:xfrm>
        <a:prstGeom prst="roundRect">
          <a:avLst>
            <a:gd name="adj" fmla="val 0"/>
          </a:avLst>
        </a:prstGeom>
        <a:solidFill>
          <a:srgbClr val="3A3A3A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179293</xdr:colOff>
      <xdr:row>4</xdr:row>
      <xdr:rowOff>162729</xdr:rowOff>
    </xdr:from>
    <xdr:to>
      <xdr:col>24</xdr:col>
      <xdr:colOff>123265</xdr:colOff>
      <xdr:row>22</xdr:row>
      <xdr:rowOff>168087</xdr:rowOff>
    </xdr:to>
    <xdr:sp macro="" textlink="">
      <xdr:nvSpPr>
        <xdr:cNvPr id="21" name="Fundo Média Satisfação">
          <a:extLst>
            <a:ext uri="{FF2B5EF4-FFF2-40B4-BE49-F238E27FC236}">
              <a16:creationId xmlns:a16="http://schemas.microsoft.com/office/drawing/2014/main" id="{F8EE51A3-A4FA-A4DC-45F2-10BA5F73D176}"/>
            </a:ext>
          </a:extLst>
        </xdr:cNvPr>
        <xdr:cNvSpPr/>
      </xdr:nvSpPr>
      <xdr:spPr>
        <a:xfrm>
          <a:off x="9849969" y="924729"/>
          <a:ext cx="5390031" cy="3434358"/>
        </a:xfrm>
        <a:prstGeom prst="roundRect">
          <a:avLst>
            <a:gd name="adj" fmla="val 0"/>
          </a:avLst>
        </a:prstGeom>
        <a:solidFill>
          <a:srgbClr val="3A3A3A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179283</xdr:colOff>
      <xdr:row>24</xdr:row>
      <xdr:rowOff>2042</xdr:rowOff>
    </xdr:from>
    <xdr:to>
      <xdr:col>24</xdr:col>
      <xdr:colOff>134471</xdr:colOff>
      <xdr:row>26</xdr:row>
      <xdr:rowOff>80483</xdr:rowOff>
    </xdr:to>
    <xdr:sp macro="" textlink="">
      <xdr:nvSpPr>
        <xdr:cNvPr id="22" name="Titulo Média Satisfação">
          <a:extLst>
            <a:ext uri="{FF2B5EF4-FFF2-40B4-BE49-F238E27FC236}">
              <a16:creationId xmlns:a16="http://schemas.microsoft.com/office/drawing/2014/main" id="{0C48447B-7EFD-D1DC-0B06-B80F0D8BBD3F}"/>
            </a:ext>
          </a:extLst>
        </xdr:cNvPr>
        <xdr:cNvSpPr txBox="1"/>
      </xdr:nvSpPr>
      <xdr:spPr>
        <a:xfrm>
          <a:off x="9944479" y="4574042"/>
          <a:ext cx="5471405" cy="45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90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Média</a:t>
          </a:r>
          <a:r>
            <a:rPr lang="pt-BR" sz="1900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De Satisfação Por Departamento</a:t>
          </a:r>
        </a:p>
      </xdr:txBody>
    </xdr:sp>
    <xdr:clientData/>
  </xdr:twoCellAnchor>
  <xdr:twoCellAnchor>
    <xdr:from>
      <xdr:col>15</xdr:col>
      <xdr:colOff>168087</xdr:colOff>
      <xdr:row>4</xdr:row>
      <xdr:rowOff>189375</xdr:rowOff>
    </xdr:from>
    <xdr:to>
      <xdr:col>24</xdr:col>
      <xdr:colOff>112060</xdr:colOff>
      <xdr:row>7</xdr:row>
      <xdr:rowOff>77316</xdr:rowOff>
    </xdr:to>
    <xdr:sp macro="" textlink="">
      <xdr:nvSpPr>
        <xdr:cNvPr id="23" name="Titulo TurnOver">
          <a:extLst>
            <a:ext uri="{FF2B5EF4-FFF2-40B4-BE49-F238E27FC236}">
              <a16:creationId xmlns:a16="http://schemas.microsoft.com/office/drawing/2014/main" id="{4931F273-9363-4548-8AE7-B9BEEBC417D2}"/>
            </a:ext>
          </a:extLst>
        </xdr:cNvPr>
        <xdr:cNvSpPr txBox="1"/>
      </xdr:nvSpPr>
      <xdr:spPr>
        <a:xfrm>
          <a:off x="9933283" y="951375"/>
          <a:ext cx="5460190" cy="45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000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TurnOver Por Departamento</a:t>
          </a:r>
        </a:p>
      </xdr:txBody>
    </xdr:sp>
    <xdr:clientData/>
  </xdr:twoCellAnchor>
  <xdr:twoCellAnchor>
    <xdr:from>
      <xdr:col>5</xdr:col>
      <xdr:colOff>69482</xdr:colOff>
      <xdr:row>28</xdr:row>
      <xdr:rowOff>67235</xdr:rowOff>
    </xdr:from>
    <xdr:to>
      <xdr:col>15</xdr:col>
      <xdr:colOff>16564</xdr:colOff>
      <xdr:row>41</xdr:row>
      <xdr:rowOff>179294</xdr:rowOff>
    </xdr:to>
    <xdr:sp macro="" textlink="">
      <xdr:nvSpPr>
        <xdr:cNvPr id="24" name="Fundo media salarial">
          <a:extLst>
            <a:ext uri="{FF2B5EF4-FFF2-40B4-BE49-F238E27FC236}">
              <a16:creationId xmlns:a16="http://schemas.microsoft.com/office/drawing/2014/main" id="{705A5252-B716-4320-B11F-CBE5E9976659}"/>
            </a:ext>
          </a:extLst>
        </xdr:cNvPr>
        <xdr:cNvSpPr/>
      </xdr:nvSpPr>
      <xdr:spPr>
        <a:xfrm>
          <a:off x="3705547" y="5401235"/>
          <a:ext cx="6076213" cy="2588559"/>
        </a:xfrm>
        <a:prstGeom prst="roundRect">
          <a:avLst>
            <a:gd name="adj" fmla="val 0"/>
          </a:avLst>
        </a:prstGeom>
        <a:solidFill>
          <a:srgbClr val="3A3A3A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112057</xdr:colOff>
      <xdr:row>30</xdr:row>
      <xdr:rowOff>0</xdr:rowOff>
    </xdr:from>
    <xdr:to>
      <xdr:col>14</xdr:col>
      <xdr:colOff>548172</xdr:colOff>
      <xdr:row>41</xdr:row>
      <xdr:rowOff>156883</xdr:rowOff>
    </xdr:to>
    <xdr:graphicFrame macro="">
      <xdr:nvGraphicFramePr>
        <xdr:cNvPr id="7" name="Gráfico Média Salarial Por Departamento">
          <a:extLst>
            <a:ext uri="{FF2B5EF4-FFF2-40B4-BE49-F238E27FC236}">
              <a16:creationId xmlns:a16="http://schemas.microsoft.com/office/drawing/2014/main" id="{DD4D5C9D-76C6-4F5D-BC27-B9D2315C2E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78439</xdr:colOff>
      <xdr:row>28</xdr:row>
      <xdr:rowOff>74879</xdr:rowOff>
    </xdr:from>
    <xdr:to>
      <xdr:col>15</xdr:col>
      <xdr:colOff>8282</xdr:colOff>
      <xdr:row>30</xdr:row>
      <xdr:rowOff>153320</xdr:rowOff>
    </xdr:to>
    <xdr:sp macro="" textlink="">
      <xdr:nvSpPr>
        <xdr:cNvPr id="25" name="Titulo Média salarial por departamento">
          <a:extLst>
            <a:ext uri="{FF2B5EF4-FFF2-40B4-BE49-F238E27FC236}">
              <a16:creationId xmlns:a16="http://schemas.microsoft.com/office/drawing/2014/main" id="{85153DB3-1423-4027-7CC1-619274052EF7}"/>
            </a:ext>
          </a:extLst>
        </xdr:cNvPr>
        <xdr:cNvSpPr txBox="1"/>
      </xdr:nvSpPr>
      <xdr:spPr>
        <a:xfrm>
          <a:off x="3714504" y="5408879"/>
          <a:ext cx="6058974" cy="45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900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Média Salarial Por Departamento</a:t>
          </a:r>
        </a:p>
      </xdr:txBody>
    </xdr:sp>
    <xdr:clientData/>
  </xdr:twoCellAnchor>
  <xdr:twoCellAnchor>
    <xdr:from>
      <xdr:col>0</xdr:col>
      <xdr:colOff>163285</xdr:colOff>
      <xdr:row>4</xdr:row>
      <xdr:rowOff>145677</xdr:rowOff>
    </xdr:from>
    <xdr:to>
      <xdr:col>4</xdr:col>
      <xdr:colOff>425821</xdr:colOff>
      <xdr:row>17</xdr:row>
      <xdr:rowOff>44824</xdr:rowOff>
    </xdr:to>
    <xdr:sp macro="" textlink="">
      <xdr:nvSpPr>
        <xdr:cNvPr id="9" name="Fundo Medidas">
          <a:extLst>
            <a:ext uri="{FF2B5EF4-FFF2-40B4-BE49-F238E27FC236}">
              <a16:creationId xmlns:a16="http://schemas.microsoft.com/office/drawing/2014/main" id="{6BFF4F73-A1F4-4825-96EB-8DE054B376CB}"/>
            </a:ext>
          </a:extLst>
        </xdr:cNvPr>
        <xdr:cNvSpPr/>
      </xdr:nvSpPr>
      <xdr:spPr>
        <a:xfrm>
          <a:off x="163285" y="907677"/>
          <a:ext cx="3276918" cy="2375647"/>
        </a:xfrm>
        <a:prstGeom prst="roundRect">
          <a:avLst>
            <a:gd name="adj" fmla="val 9068"/>
          </a:avLst>
        </a:prstGeom>
        <a:solidFill>
          <a:srgbClr val="3A3A3A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168087</xdr:colOff>
      <xdr:row>4</xdr:row>
      <xdr:rowOff>160739</xdr:rowOff>
    </xdr:from>
    <xdr:to>
      <xdr:col>4</xdr:col>
      <xdr:colOff>414616</xdr:colOff>
      <xdr:row>6</xdr:row>
      <xdr:rowOff>178670</xdr:rowOff>
    </xdr:to>
    <xdr:sp macro="" textlink="">
      <xdr:nvSpPr>
        <xdr:cNvPr id="29" name="Titulo Total Funcionários">
          <a:extLst>
            <a:ext uri="{FF2B5EF4-FFF2-40B4-BE49-F238E27FC236}">
              <a16:creationId xmlns:a16="http://schemas.microsoft.com/office/drawing/2014/main" id="{E0D2A581-CE31-EDD0-EAFB-94778A1BA5F3}"/>
            </a:ext>
          </a:extLst>
        </xdr:cNvPr>
        <xdr:cNvSpPr txBox="1"/>
      </xdr:nvSpPr>
      <xdr:spPr>
        <a:xfrm>
          <a:off x="168087" y="922739"/>
          <a:ext cx="3260911" cy="3989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80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Total</a:t>
          </a:r>
          <a:r>
            <a:rPr lang="pt-BR" sz="1800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De Funcionários</a:t>
          </a:r>
        </a:p>
      </xdr:txBody>
    </xdr:sp>
    <xdr:clientData/>
  </xdr:twoCellAnchor>
  <xdr:twoCellAnchor>
    <xdr:from>
      <xdr:col>0</xdr:col>
      <xdr:colOff>179293</xdr:colOff>
      <xdr:row>6</xdr:row>
      <xdr:rowOff>45755</xdr:rowOff>
    </xdr:from>
    <xdr:to>
      <xdr:col>4</xdr:col>
      <xdr:colOff>425822</xdr:colOff>
      <xdr:row>8</xdr:row>
      <xdr:rowOff>175747</xdr:rowOff>
    </xdr:to>
    <xdr:sp macro="" textlink="Medidas!A4">
      <xdr:nvSpPr>
        <xdr:cNvPr id="33" name="Medida Total De Funcionários">
          <a:extLst>
            <a:ext uri="{FF2B5EF4-FFF2-40B4-BE49-F238E27FC236}">
              <a16:creationId xmlns:a16="http://schemas.microsoft.com/office/drawing/2014/main" id="{CC4A6C24-5280-BF58-1AD1-35A5520E243B}"/>
            </a:ext>
          </a:extLst>
        </xdr:cNvPr>
        <xdr:cNvSpPr txBox="1"/>
      </xdr:nvSpPr>
      <xdr:spPr>
        <a:xfrm>
          <a:off x="179293" y="1188755"/>
          <a:ext cx="3269681" cy="5109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46A982F8-EC3D-4627-8BFB-9A59FA2E25B6}" type="TxLink">
            <a:rPr lang="en-US" sz="2400" b="0" i="0" u="none" strike="noStrike" baseline="0">
              <a:solidFill>
                <a:schemeClr val="bg1"/>
              </a:solidFill>
              <a:latin typeface="Calibri"/>
              <a:cs typeface="Calibri"/>
            </a:rPr>
            <a:pPr algn="ctr"/>
            <a:t>200</a:t>
          </a:fld>
          <a:endParaRPr lang="pt-BR" sz="2400" baseline="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168086</xdr:colOff>
      <xdr:row>8</xdr:row>
      <xdr:rowOff>160107</xdr:rowOff>
    </xdr:from>
    <xdr:to>
      <xdr:col>4</xdr:col>
      <xdr:colOff>414615</xdr:colOff>
      <xdr:row>11</xdr:row>
      <xdr:rowOff>99599</xdr:rowOff>
    </xdr:to>
    <xdr:sp macro="" textlink="">
      <xdr:nvSpPr>
        <xdr:cNvPr id="31" name="Titulo Média Geral de Satisfação">
          <a:extLst>
            <a:ext uri="{FF2B5EF4-FFF2-40B4-BE49-F238E27FC236}">
              <a16:creationId xmlns:a16="http://schemas.microsoft.com/office/drawing/2014/main" id="{32C70AC2-A814-19C3-3976-0940DE83AF14}"/>
            </a:ext>
          </a:extLst>
        </xdr:cNvPr>
        <xdr:cNvSpPr txBox="1"/>
      </xdr:nvSpPr>
      <xdr:spPr>
        <a:xfrm>
          <a:off x="168086" y="1684107"/>
          <a:ext cx="3260911" cy="5109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Média Geral De Satisfação</a:t>
          </a:r>
        </a:p>
      </xdr:txBody>
    </xdr:sp>
    <xdr:clientData/>
  </xdr:twoCellAnchor>
  <xdr:twoCellAnchor>
    <xdr:from>
      <xdr:col>0</xdr:col>
      <xdr:colOff>156880</xdr:colOff>
      <xdr:row>10</xdr:row>
      <xdr:rowOff>59253</xdr:rowOff>
    </xdr:from>
    <xdr:to>
      <xdr:col>4</xdr:col>
      <xdr:colOff>403409</xdr:colOff>
      <xdr:row>12</xdr:row>
      <xdr:rowOff>189245</xdr:rowOff>
    </xdr:to>
    <xdr:sp macro="" textlink="Medidas!A8">
      <xdr:nvSpPr>
        <xdr:cNvPr id="34" name="Medida Geral de satisfação">
          <a:extLst>
            <a:ext uri="{FF2B5EF4-FFF2-40B4-BE49-F238E27FC236}">
              <a16:creationId xmlns:a16="http://schemas.microsoft.com/office/drawing/2014/main" id="{28CEBB6B-1268-7EDB-B523-2827C7D012D1}"/>
            </a:ext>
          </a:extLst>
        </xdr:cNvPr>
        <xdr:cNvSpPr txBox="1"/>
      </xdr:nvSpPr>
      <xdr:spPr>
        <a:xfrm>
          <a:off x="156880" y="1964253"/>
          <a:ext cx="3260911" cy="5109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FA373CBF-D057-4C1B-92AD-10D3A83985F5}" type="TxLink">
            <a:rPr lang="en-US" sz="2400" b="0" i="0" u="none" strike="noStrike" baseline="0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3,17</a:t>
          </a:fld>
          <a:endParaRPr lang="pt-BR" sz="2400" b="0" i="0" u="none" strike="noStrike" baseline="0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0</xdr:col>
      <xdr:colOff>179292</xdr:colOff>
      <xdr:row>12</xdr:row>
      <xdr:rowOff>155992</xdr:rowOff>
    </xdr:from>
    <xdr:to>
      <xdr:col>4</xdr:col>
      <xdr:colOff>425821</xdr:colOff>
      <xdr:row>14</xdr:row>
      <xdr:rowOff>185130</xdr:rowOff>
    </xdr:to>
    <xdr:sp macro="" textlink="">
      <xdr:nvSpPr>
        <xdr:cNvPr id="32" name="Titulo Total de folha de pagamento">
          <a:extLst>
            <a:ext uri="{FF2B5EF4-FFF2-40B4-BE49-F238E27FC236}">
              <a16:creationId xmlns:a16="http://schemas.microsoft.com/office/drawing/2014/main" id="{4ED7E5B5-2936-8A0F-7E00-9C9E3CD293D0}"/>
            </a:ext>
          </a:extLst>
        </xdr:cNvPr>
        <xdr:cNvSpPr txBox="1"/>
      </xdr:nvSpPr>
      <xdr:spPr>
        <a:xfrm>
          <a:off x="179292" y="2441992"/>
          <a:ext cx="3269681" cy="4101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Total</a:t>
          </a:r>
          <a:r>
            <a:rPr lang="pt-BR" sz="1600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Da Folha De Pagamento</a:t>
          </a:r>
        </a:p>
      </xdr:txBody>
    </xdr:sp>
    <xdr:clientData/>
  </xdr:twoCellAnchor>
  <xdr:twoCellAnchor>
    <xdr:from>
      <xdr:col>0</xdr:col>
      <xdr:colOff>179292</xdr:colOff>
      <xdr:row>14</xdr:row>
      <xdr:rowOff>49290</xdr:rowOff>
    </xdr:from>
    <xdr:to>
      <xdr:col>4</xdr:col>
      <xdr:colOff>425821</xdr:colOff>
      <xdr:row>16</xdr:row>
      <xdr:rowOff>179282</xdr:rowOff>
    </xdr:to>
    <xdr:sp macro="" textlink="Medidas!A12">
      <xdr:nvSpPr>
        <xdr:cNvPr id="35" name="Medida Total folha de pagamento">
          <a:extLst>
            <a:ext uri="{FF2B5EF4-FFF2-40B4-BE49-F238E27FC236}">
              <a16:creationId xmlns:a16="http://schemas.microsoft.com/office/drawing/2014/main" id="{9EDF1911-D588-3D35-FDDA-C7C30B60EBB1}"/>
            </a:ext>
          </a:extLst>
        </xdr:cNvPr>
        <xdr:cNvSpPr txBox="1"/>
      </xdr:nvSpPr>
      <xdr:spPr>
        <a:xfrm>
          <a:off x="179292" y="2716290"/>
          <a:ext cx="3260911" cy="5109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0C0AAF69-4E51-438A-9516-DCC44A9FC021}" type="TxLink">
            <a:rPr lang="en-US" sz="2400" b="0" i="0" u="none" strike="noStrike" baseline="0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 R$ 1.170.408,00 </a:t>
          </a:fld>
          <a:endParaRPr lang="pt-BR" sz="2400" b="0" i="0" u="none" strike="noStrike" baseline="0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0</xdr:col>
      <xdr:colOff>158803</xdr:colOff>
      <xdr:row>30</xdr:row>
      <xdr:rowOff>145676</xdr:rowOff>
    </xdr:from>
    <xdr:to>
      <xdr:col>4</xdr:col>
      <xdr:colOff>421339</xdr:colOff>
      <xdr:row>41</xdr:row>
      <xdr:rowOff>161192</xdr:rowOff>
    </xdr:to>
    <xdr:sp macro="" textlink="">
      <xdr:nvSpPr>
        <xdr:cNvPr id="36" name="Fundo Top 5 cargos com maiores salarios">
          <a:extLst>
            <a:ext uri="{FF2B5EF4-FFF2-40B4-BE49-F238E27FC236}">
              <a16:creationId xmlns:a16="http://schemas.microsoft.com/office/drawing/2014/main" id="{370F4C0A-3D8F-43C0-8340-FBAF82CDF48C}"/>
            </a:ext>
          </a:extLst>
        </xdr:cNvPr>
        <xdr:cNvSpPr/>
      </xdr:nvSpPr>
      <xdr:spPr>
        <a:xfrm>
          <a:off x="158803" y="5860676"/>
          <a:ext cx="3276918" cy="2111016"/>
        </a:xfrm>
        <a:prstGeom prst="roundRect">
          <a:avLst>
            <a:gd name="adj" fmla="val 9068"/>
          </a:avLst>
        </a:prstGeom>
        <a:solidFill>
          <a:srgbClr val="3A3A3A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158803</xdr:colOff>
      <xdr:row>18</xdr:row>
      <xdr:rowOff>44822</xdr:rowOff>
    </xdr:from>
    <xdr:to>
      <xdr:col>4</xdr:col>
      <xdr:colOff>421339</xdr:colOff>
      <xdr:row>29</xdr:row>
      <xdr:rowOff>60338</xdr:rowOff>
    </xdr:to>
    <xdr:sp macro="" textlink="">
      <xdr:nvSpPr>
        <xdr:cNvPr id="37" name="Fundo Funcionarios com + tempo de casa">
          <a:extLst>
            <a:ext uri="{FF2B5EF4-FFF2-40B4-BE49-F238E27FC236}">
              <a16:creationId xmlns:a16="http://schemas.microsoft.com/office/drawing/2014/main" id="{4A703D2B-7595-E894-D8B2-BC7E963BD680}"/>
            </a:ext>
          </a:extLst>
        </xdr:cNvPr>
        <xdr:cNvSpPr/>
      </xdr:nvSpPr>
      <xdr:spPr>
        <a:xfrm>
          <a:off x="158803" y="3473822"/>
          <a:ext cx="3276918" cy="2111016"/>
        </a:xfrm>
        <a:prstGeom prst="roundRect">
          <a:avLst>
            <a:gd name="adj" fmla="val 9068"/>
          </a:avLst>
        </a:prstGeom>
        <a:solidFill>
          <a:srgbClr val="3A3A3A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152399</xdr:colOff>
      <xdr:row>18</xdr:row>
      <xdr:rowOff>67231</xdr:rowOff>
    </xdr:from>
    <xdr:to>
      <xdr:col>4</xdr:col>
      <xdr:colOff>398928</xdr:colOff>
      <xdr:row>22</xdr:row>
      <xdr:rowOff>112058</xdr:rowOff>
    </xdr:to>
    <xdr:sp macro="" textlink="">
      <xdr:nvSpPr>
        <xdr:cNvPr id="38" name="Titulo Funcionários + tempo de casa">
          <a:extLst>
            <a:ext uri="{FF2B5EF4-FFF2-40B4-BE49-F238E27FC236}">
              <a16:creationId xmlns:a16="http://schemas.microsoft.com/office/drawing/2014/main" id="{338D27F3-C1FF-4121-8071-D7C3F0C25CEC}"/>
            </a:ext>
          </a:extLst>
        </xdr:cNvPr>
        <xdr:cNvSpPr txBox="1"/>
      </xdr:nvSpPr>
      <xdr:spPr>
        <a:xfrm>
          <a:off x="152399" y="3496231"/>
          <a:ext cx="3260911" cy="8068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700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Funcionários + Tempo </a:t>
          </a:r>
        </a:p>
        <a:p>
          <a:pPr algn="ctr"/>
          <a:r>
            <a:rPr lang="pt-BR" sz="1700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De Casa</a:t>
          </a:r>
        </a:p>
      </xdr:txBody>
    </xdr:sp>
    <xdr:clientData/>
  </xdr:twoCellAnchor>
  <xdr:twoCellAnchor>
    <xdr:from>
      <xdr:col>0</xdr:col>
      <xdr:colOff>174811</xdr:colOff>
      <xdr:row>31</xdr:row>
      <xdr:rowOff>22407</xdr:rowOff>
    </xdr:from>
    <xdr:to>
      <xdr:col>4</xdr:col>
      <xdr:colOff>421340</xdr:colOff>
      <xdr:row>35</xdr:row>
      <xdr:rowOff>67234</xdr:rowOff>
    </xdr:to>
    <xdr:sp macro="" textlink="">
      <xdr:nvSpPr>
        <xdr:cNvPr id="39" name="Titulo top 5 cargos com maiores salarios">
          <a:extLst>
            <a:ext uri="{FF2B5EF4-FFF2-40B4-BE49-F238E27FC236}">
              <a16:creationId xmlns:a16="http://schemas.microsoft.com/office/drawing/2014/main" id="{30B199F1-4B4D-BB7C-DC65-20A27ECE0005}"/>
            </a:ext>
          </a:extLst>
        </xdr:cNvPr>
        <xdr:cNvSpPr txBox="1"/>
      </xdr:nvSpPr>
      <xdr:spPr>
        <a:xfrm>
          <a:off x="174811" y="5927907"/>
          <a:ext cx="3260911" cy="8068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900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Média salarial Por Cargo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323021</xdr:colOff>
          <xdr:row>33</xdr:row>
          <xdr:rowOff>158749</xdr:rowOff>
        </xdr:from>
        <xdr:to>
          <xdr:col>4</xdr:col>
          <xdr:colOff>248478</xdr:colOff>
          <xdr:row>40</xdr:row>
          <xdr:rowOff>161408</xdr:rowOff>
        </xdr:to>
        <xdr:pic>
          <xdr:nvPicPr>
            <xdr:cNvPr id="49" name="Imagem 48">
              <a:extLst>
                <a:ext uri="{FF2B5EF4-FFF2-40B4-BE49-F238E27FC236}">
                  <a16:creationId xmlns:a16="http://schemas.microsoft.com/office/drawing/2014/main" id="{D84B9FAE-DDAD-6ABF-6A41-13CA0117CCC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Top 5 cargos com + média salari'!$A$4:$B$8" spid="_x0000_s6207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323021" y="6445249"/>
              <a:ext cx="2948609" cy="1336159"/>
            </a:xfrm>
            <a:prstGeom prst="rect">
              <a:avLst/>
            </a:prstGeom>
            <a:noFill/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365309</xdr:colOff>
          <xdr:row>21</xdr:row>
          <xdr:rowOff>150742</xdr:rowOff>
        </xdr:from>
        <xdr:to>
          <xdr:col>4</xdr:col>
          <xdr:colOff>212909</xdr:colOff>
          <xdr:row>28</xdr:row>
          <xdr:rowOff>170371</xdr:rowOff>
        </xdr:to>
        <xdr:pic>
          <xdr:nvPicPr>
            <xdr:cNvPr id="55" name="Imagem 54">
              <a:extLst>
                <a:ext uri="{FF2B5EF4-FFF2-40B4-BE49-F238E27FC236}">
                  <a16:creationId xmlns:a16="http://schemas.microsoft.com/office/drawing/2014/main" id="{852DAD4E-105E-7191-F7AD-76DBFC8D4E4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uncionarios com + tempo de cas'!$A$4:$B$8" spid="_x0000_s6208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365309" y="4151242"/>
              <a:ext cx="2861982" cy="135312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</xdr:col>
      <xdr:colOff>12615</xdr:colOff>
      <xdr:row>1</xdr:row>
      <xdr:rowOff>116851</xdr:rowOff>
    </xdr:from>
    <xdr:to>
      <xdr:col>4</xdr:col>
      <xdr:colOff>13237</xdr:colOff>
      <xdr:row>3</xdr:row>
      <xdr:rowOff>11017</xdr:rowOff>
    </xdr:to>
    <xdr:sp macro="[0]!Consultar_Base_Original" textlink="">
      <xdr:nvSpPr>
        <xdr:cNvPr id="2" name="CaixaDeTexto 1">
          <a:extLst>
            <a:ext uri="{FF2B5EF4-FFF2-40B4-BE49-F238E27FC236}">
              <a16:creationId xmlns:a16="http://schemas.microsoft.com/office/drawing/2014/main" id="{F870406C-32D6-E7C7-97ED-F13FDF30FDFD}"/>
            </a:ext>
          </a:extLst>
        </xdr:cNvPr>
        <xdr:cNvSpPr txBox="1"/>
      </xdr:nvSpPr>
      <xdr:spPr>
        <a:xfrm>
          <a:off x="625528" y="307351"/>
          <a:ext cx="2410861" cy="275166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30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Consultar</a:t>
          </a:r>
          <a:r>
            <a:rPr lang="pt-BR" sz="1300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Base Original</a:t>
          </a:r>
          <a:endParaRPr lang="pt-BR" sz="13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15</xdr:col>
      <xdr:colOff>257732</xdr:colOff>
      <xdr:row>6</xdr:row>
      <xdr:rowOff>105213</xdr:rowOff>
    </xdr:from>
    <xdr:to>
      <xdr:col>24</xdr:col>
      <xdr:colOff>104775</xdr:colOff>
      <xdr:row>22</xdr:row>
      <xdr:rowOff>136963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F5C8C60-6D9E-01B8-AA88-85DA6D9E73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284617</xdr:colOff>
      <xdr:row>26</xdr:row>
      <xdr:rowOff>28575</xdr:rowOff>
    </xdr:from>
    <xdr:to>
      <xdr:col>23</xdr:col>
      <xdr:colOff>582706</xdr:colOff>
      <xdr:row>41</xdr:row>
      <xdr:rowOff>133350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A829E4E7-2FD6-D4E5-C7A7-8E27222ACB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480524</xdr:colOff>
      <xdr:row>1</xdr:row>
      <xdr:rowOff>60379</xdr:rowOff>
    </xdr:from>
    <xdr:to>
      <xdr:col>24</xdr:col>
      <xdr:colOff>91241</xdr:colOff>
      <xdr:row>3</xdr:row>
      <xdr:rowOff>172754</xdr:rowOff>
    </xdr:to>
    <xdr:sp macro="" textlink="">
      <xdr:nvSpPr>
        <xdr:cNvPr id="40" name="Titulo Principal">
          <a:extLst>
            <a:ext uri="{FF2B5EF4-FFF2-40B4-BE49-F238E27FC236}">
              <a16:creationId xmlns:a16="http://schemas.microsoft.com/office/drawing/2014/main" id="{1446E0B7-9D5F-4A12-99CA-DCDA08D14A61}"/>
            </a:ext>
          </a:extLst>
        </xdr:cNvPr>
        <xdr:cNvSpPr txBox="1"/>
      </xdr:nvSpPr>
      <xdr:spPr>
        <a:xfrm>
          <a:off x="12084459" y="250879"/>
          <a:ext cx="3288195" cy="49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80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Criado</a:t>
          </a:r>
          <a:r>
            <a:rPr lang="pt-BR" sz="1800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por Guilherme Pagano</a:t>
          </a:r>
          <a:endParaRPr lang="pt-BR" sz="18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631.91949537037" createdVersion="8" refreshedVersion="8" minRefreshableVersion="3" recordCount="200" xr:uid="{9397C558-6438-44D8-8832-F0CF604E71A9}">
  <cacheSource type="worksheet">
    <worksheetSource ref="A1:K201" sheet="Base_RH"/>
  </cacheSource>
  <cacheFields count="11">
    <cacheField name="ID" numFmtId="0">
      <sharedItems containsSemiMixedTypes="0" containsString="0" containsNumber="1" containsInteger="1" minValue="1" maxValue="200"/>
    </cacheField>
    <cacheField name="Nome" numFmtId="0">
      <sharedItems count="199">
        <s v="Dr. Eduardo da Luz"/>
        <s v="Arthur Castro"/>
        <s v="Thales Moura"/>
        <s v="Pedro Lucas Cardoso"/>
        <s v="Dr. Enrico Ribeiro"/>
        <s v="Ana Beatriz da Luz"/>
        <s v="Ryan Novaes"/>
        <s v="Letícia Martins"/>
        <s v="Gabriel Lima"/>
        <s v="Olivia da Cruz"/>
        <s v="Henrique Correia"/>
        <s v="Theo Nunes"/>
        <s v="Sr. João Gabriel Castro"/>
        <s v="Enzo Mendes"/>
        <s v="João Lucas Rocha"/>
        <s v="Sr. Breno Cunha"/>
        <s v="Dra. Ana Clara Melo"/>
        <s v="Davi Lucca Gonçalves"/>
        <s v="Arthur Cardoso"/>
        <s v="Srta. Kamilly Porto"/>
        <s v="Daniela Teixeira"/>
        <s v="Anthony da Mota"/>
        <s v="Joaquim Porto"/>
        <s v="Joaquim Fogaça"/>
        <s v="Sr. Bernardo Cardoso"/>
        <s v="Vinicius da Conceição"/>
        <s v="João Gabriel Viana"/>
        <s v="Theo da Rocha"/>
        <s v="Antônio Cardoso"/>
        <s v="Bruno Correia"/>
        <s v="Davi Lucca Barros"/>
        <s v="Sr. Paulo Jesus"/>
        <s v="Melissa Moraes"/>
        <s v="Srta. Rebeca Freitas"/>
        <s v="Maria Julia Almeida"/>
        <s v="Bárbara Silva"/>
        <s v="Gustavo da Mata"/>
        <s v="Emilly Cunha"/>
        <s v="João Lucas da Conceição"/>
        <s v="Juliana Novaes"/>
        <s v="Isabelly Freitas"/>
        <s v="Enrico Alves"/>
        <s v="Leonardo Moreira"/>
        <s v="Srta. Maria Fernanda Cavalcanti"/>
        <s v="Dr. João Gabriel Duarte"/>
        <s v="Brenda Viana"/>
        <s v="João Guilherme Novaes"/>
        <s v="Dra. Lavínia Oliveira"/>
        <s v="Pedro Miguel Teixeira"/>
        <s v="Luigi Oliveira"/>
        <s v="Sr. Anthony da Mota"/>
        <s v="Melissa Rezende"/>
        <s v="Dr. Enrico das Neves"/>
        <s v="Melissa Castro"/>
        <s v="Sofia da Luz"/>
        <s v="Matheus Melo"/>
        <s v="Luiz Gustavo Campos"/>
        <s v="Srta. Giovanna Almeida"/>
        <s v="Murilo Barros"/>
        <s v="João Pedro das Neves"/>
        <s v="Rebeca das Neves"/>
        <s v="Eduardo Novaes"/>
        <s v="Srta. Luiza Mendes"/>
        <s v="Emanuel Martins"/>
        <s v="Dra. Mariane Novaes"/>
        <s v="Srta. Juliana Pires"/>
        <s v="Calebe Azevedo"/>
        <s v="Ana Laura Alves"/>
        <s v="Isabelly Teixeira"/>
        <s v="Caroline da Conceição"/>
        <s v="Melissa Moreira"/>
        <s v="Dr. João Pedro Porto"/>
        <s v="Sra. Vitória Almeida"/>
        <s v="Milena Oliveira"/>
        <s v="Lucas da Conceição"/>
        <s v="Letícia Castro"/>
        <s v="Sabrina Moraes"/>
        <s v="Laura Dias"/>
        <s v="Dr. Benício Martins"/>
        <s v="Ana Sophia da Mata"/>
        <s v="Elisa da Luz"/>
        <s v="André da Cruz"/>
        <s v="Catarina Nunes"/>
        <s v="Erick Vieira"/>
        <s v="Carolina Farias"/>
        <s v="Isabelly da Paz"/>
        <s v="Isabella Martins"/>
        <s v="Dr. Gustavo Vieira"/>
        <s v="Emanuella Pinto"/>
        <s v="Ana Vitória Carvalho"/>
        <s v="João Felipe da Mota"/>
        <s v="João Miguel Teixeira"/>
        <s v="Lorena Oliveira"/>
        <s v="Dra. Rebeca Costela"/>
        <s v="Srta. Nina Melo"/>
        <s v="Nina Cardoso"/>
        <s v="Sr. Erick Gomes"/>
        <s v="João Guilherme Dias"/>
        <s v="Srta. Raquel Dias"/>
        <s v="Pedro Lucas Carvalho"/>
        <s v="Bianca da Conceição"/>
        <s v="Beatriz da Conceição"/>
        <s v="Maria Alice Nogueira"/>
        <s v="Luiz Henrique Sales"/>
        <s v="Levi da Cruz"/>
        <s v="Sr. Davi Lucca Sales"/>
        <s v="Marcos Vinicius Alves"/>
        <s v="Enzo Pinto"/>
        <s v="Ana Beatriz da Rosa"/>
        <s v="Davi Lucca Souza"/>
        <s v="Maria Sophia Novaes"/>
        <s v="Vitor Hugo Araújo"/>
        <s v="Emilly da Cunha"/>
        <s v="Alana Oliveira"/>
        <s v="Maria Lima"/>
        <s v="Alice Barros"/>
        <s v="Thales Cardoso"/>
        <s v="Sofia Rezende"/>
        <s v="Vitor Gabriel Silva"/>
        <s v="Marcelo Cavalcanti"/>
        <s v="Caio da Conceição"/>
        <s v="Dr. Daniel Cavalcanti"/>
        <s v="Davi Luiz Aragão"/>
        <s v="Dr. Pedro Lucas da Cruz"/>
        <s v="Maria Fernanda Monteiro"/>
        <s v="Davi Cavalcanti"/>
        <s v="Thiago Lopes"/>
        <s v="Sra. Lorena Melo"/>
        <s v="Luiz Fernando da Cunha"/>
        <s v="Maria Julia Melo"/>
        <s v="Yago Farias"/>
        <s v="Alexandre Azevedo"/>
        <s v="Rebeca Carvalho"/>
        <s v="Dr. João das Neves"/>
        <s v="Theo Viana"/>
        <s v="Pedro das Neves"/>
        <s v="Leonardo Castro"/>
        <s v="Alícia Freitas"/>
        <s v="Henrique Barbosa"/>
        <s v="Luana da Cunha"/>
        <s v="Giovanna das Neves"/>
        <s v="Juliana Barbosa"/>
        <s v="Nicole da Mata"/>
        <s v="Noah Castro"/>
        <s v="Thales da Conceição"/>
        <s v="Ian Porto"/>
        <s v="Maria Vitória Porto"/>
        <s v="Joana Martins"/>
        <s v="Marcelo Campos"/>
        <s v="Anthony Dias"/>
        <s v="Stella Freitas"/>
        <s v="Sarah Rezende"/>
        <s v="Isabel Novaes"/>
        <s v="Lucas Gabriel Rezende"/>
        <s v="Eduarda Jesus"/>
        <s v="Raquel Freitas"/>
        <s v="Valentina Teixeira"/>
        <s v="Rafael Castro"/>
        <s v="Srta. Milena Pires"/>
        <s v="Daniel Novaes"/>
        <s v="Emanuelly Ribeiro"/>
        <s v="João Vitor Pereira"/>
        <s v="Leandro Campos"/>
        <s v="Davi Lucca Ribeiro"/>
        <s v="Sr. Gabriel Costela"/>
        <s v="Erick Monteiro"/>
        <s v="Dr. Yuri Moreira"/>
        <s v="Luana Souza"/>
        <s v="Samuel da Mota"/>
        <s v="Otávio Correia"/>
        <s v="Cecília Aragão"/>
        <s v="Dr. Davi Lucca Pires"/>
        <s v="Sabrina Lopes"/>
        <s v="Theo Silva"/>
        <s v="Pedro Henrique Pinto"/>
        <s v="Sofia Peixoto"/>
        <s v="Srta. Sophie Pires"/>
        <s v="Dr. Caio Moreira"/>
        <s v="Catarina Cavalcanti"/>
        <s v="Luigi Duarte"/>
        <s v="Dra. Maria Fernanda Ferreira"/>
        <s v="Mirella Melo"/>
        <s v="Antônio Nunes"/>
        <s v="Paulo Moura"/>
        <s v="Luiz Felipe da Rocha"/>
        <s v="Diego Dias"/>
        <s v="João Vitor Rocha"/>
        <s v="Enzo Caldeira"/>
        <s v="Emanuelly Aragão"/>
        <s v="Raul Lima"/>
        <s v="Maitê Jesus"/>
        <s v="Erick Cardoso"/>
        <s v="Davi Cunha"/>
        <s v="Fernando da Rocha"/>
        <s v="Luana Rodrigues"/>
        <s v="João Felipe Araújo"/>
        <s v="Juan Costa"/>
        <s v="Esther da Conceição"/>
        <s v="Dr. João Gabriel Correia"/>
      </sharedItems>
    </cacheField>
    <cacheField name="Departamento" numFmtId="0">
      <sharedItems count="6">
        <s v="TI"/>
        <s v="Vendas"/>
        <s v="Operações"/>
        <s v="Financeiro"/>
        <s v="RH"/>
        <s v="Marketing"/>
      </sharedItems>
    </cacheField>
    <cacheField name="Cargo" numFmtId="0">
      <sharedItems count="5">
        <s v="Assistente"/>
        <s v="Analista"/>
        <s v="Desenvolvedor"/>
        <s v="Gerente"/>
        <s v="Especialista"/>
      </sharedItems>
    </cacheField>
    <cacheField name="Idade" numFmtId="0">
      <sharedItems containsSemiMixedTypes="0" containsString="0" containsNumber="1" containsInteger="1" minValue="22" maxValue="60"/>
    </cacheField>
    <cacheField name="Gênero" numFmtId="0">
      <sharedItems/>
    </cacheField>
    <cacheField name="Salário" numFmtId="0">
      <sharedItems containsSemiMixedTypes="0" containsString="0" containsNumber="1" containsInteger="1" minValue="1700" maxValue="17000"/>
    </cacheField>
    <cacheField name="Anos na Empresa" numFmtId="0">
      <sharedItems containsSemiMixedTypes="0" containsString="0" containsNumber="1" containsInteger="1" minValue="0" maxValue="20"/>
    </cacheField>
    <cacheField name="Satisfação no Trabalho" numFmtId="0">
      <sharedItems containsSemiMixedTypes="0" containsString="0" containsNumber="1" containsInteger="1" minValue="1" maxValue="5"/>
    </cacheField>
    <cacheField name="Treinamentos" numFmtId="0">
      <sharedItems containsSemiMixedTypes="0" containsString="0" containsNumber="1" containsInteger="1" minValue="0" maxValue="5"/>
    </cacheField>
    <cacheField name="Rotatividade" numFmtId="0">
      <sharedItems count="2">
        <s v="Não"/>
        <s v="Sim"/>
      </sharedItems>
    </cacheField>
  </cacheFields>
  <extLst>
    <ext xmlns:x14="http://schemas.microsoft.com/office/spreadsheetml/2009/9/main" uri="{725AE2AE-9491-48be-B2B4-4EB974FC3084}">
      <x14:pivotCacheDefinition pivotCacheId="96166327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">
  <r>
    <n v="1"/>
    <x v="0"/>
    <x v="0"/>
    <x v="0"/>
    <n v="29"/>
    <s v="M"/>
    <n v="4000"/>
    <n v="18"/>
    <n v="5"/>
    <n v="1"/>
    <x v="0"/>
  </r>
  <r>
    <n v="2"/>
    <x v="1"/>
    <x v="0"/>
    <x v="1"/>
    <n v="49"/>
    <s v="M"/>
    <n v="7753"/>
    <n v="0"/>
    <n v="4"/>
    <n v="2"/>
    <x v="0"/>
  </r>
  <r>
    <n v="3"/>
    <x v="2"/>
    <x v="1"/>
    <x v="0"/>
    <n v="57"/>
    <s v="M"/>
    <n v="2800"/>
    <n v="14"/>
    <n v="2"/>
    <n v="0"/>
    <x v="0"/>
  </r>
  <r>
    <n v="4"/>
    <x v="3"/>
    <x v="0"/>
    <x v="2"/>
    <n v="41"/>
    <s v="M"/>
    <n v="5787"/>
    <n v="17"/>
    <n v="5"/>
    <n v="2"/>
    <x v="0"/>
  </r>
  <r>
    <n v="5"/>
    <x v="4"/>
    <x v="1"/>
    <x v="1"/>
    <n v="30"/>
    <s v="M"/>
    <n v="7736"/>
    <n v="14"/>
    <n v="3"/>
    <n v="2"/>
    <x v="0"/>
  </r>
  <r>
    <n v="6"/>
    <x v="5"/>
    <x v="2"/>
    <x v="1"/>
    <n v="37"/>
    <s v="M"/>
    <n v="4000"/>
    <n v="0"/>
    <n v="4"/>
    <n v="0"/>
    <x v="0"/>
  </r>
  <r>
    <n v="7"/>
    <x v="6"/>
    <x v="1"/>
    <x v="0"/>
    <n v="43"/>
    <s v="F"/>
    <n v="2850"/>
    <n v="15"/>
    <n v="3"/>
    <n v="0"/>
    <x v="0"/>
  </r>
  <r>
    <n v="8"/>
    <x v="7"/>
    <x v="3"/>
    <x v="0"/>
    <n v="42"/>
    <s v="M"/>
    <n v="3500"/>
    <n v="11"/>
    <n v="2"/>
    <n v="4"/>
    <x v="0"/>
  </r>
  <r>
    <n v="9"/>
    <x v="8"/>
    <x v="4"/>
    <x v="1"/>
    <n v="59"/>
    <s v="M"/>
    <n v="3000"/>
    <n v="15"/>
    <n v="1"/>
    <n v="4"/>
    <x v="0"/>
  </r>
  <r>
    <n v="10"/>
    <x v="9"/>
    <x v="5"/>
    <x v="3"/>
    <n v="43"/>
    <s v="M"/>
    <n v="10000"/>
    <n v="0"/>
    <n v="2"/>
    <n v="3"/>
    <x v="0"/>
  </r>
  <r>
    <n v="11"/>
    <x v="10"/>
    <x v="3"/>
    <x v="4"/>
    <n v="25"/>
    <s v="M"/>
    <n v="9451"/>
    <n v="12"/>
    <n v="3"/>
    <n v="1"/>
    <x v="0"/>
  </r>
  <r>
    <n v="12"/>
    <x v="11"/>
    <x v="1"/>
    <x v="1"/>
    <n v="53"/>
    <s v="M"/>
    <n v="5787"/>
    <n v="4"/>
    <n v="5"/>
    <n v="0"/>
    <x v="0"/>
  </r>
  <r>
    <n v="13"/>
    <x v="12"/>
    <x v="1"/>
    <x v="3"/>
    <n v="27"/>
    <s v="F"/>
    <n v="9200"/>
    <n v="10"/>
    <n v="5"/>
    <n v="1"/>
    <x v="0"/>
  </r>
  <r>
    <n v="14"/>
    <x v="13"/>
    <x v="4"/>
    <x v="1"/>
    <n v="53"/>
    <s v="M"/>
    <n v="3000"/>
    <n v="5"/>
    <n v="1"/>
    <n v="0"/>
    <x v="0"/>
  </r>
  <r>
    <n v="15"/>
    <x v="14"/>
    <x v="0"/>
    <x v="1"/>
    <n v="37"/>
    <s v="M"/>
    <n v="6200"/>
    <n v="8"/>
    <n v="5"/>
    <n v="1"/>
    <x v="0"/>
  </r>
  <r>
    <n v="16"/>
    <x v="15"/>
    <x v="1"/>
    <x v="4"/>
    <n v="25"/>
    <s v="F"/>
    <n v="4567"/>
    <n v="10"/>
    <n v="2"/>
    <n v="0"/>
    <x v="0"/>
  </r>
  <r>
    <n v="17"/>
    <x v="16"/>
    <x v="1"/>
    <x v="3"/>
    <n v="22"/>
    <s v="M"/>
    <n v="8522"/>
    <n v="2"/>
    <n v="2"/>
    <n v="1"/>
    <x v="0"/>
  </r>
  <r>
    <n v="18"/>
    <x v="17"/>
    <x v="5"/>
    <x v="4"/>
    <n v="49"/>
    <s v="F"/>
    <n v="9297"/>
    <n v="15"/>
    <n v="5"/>
    <n v="5"/>
    <x v="0"/>
  </r>
  <r>
    <n v="19"/>
    <x v="18"/>
    <x v="3"/>
    <x v="0"/>
    <n v="28"/>
    <s v="F"/>
    <n v="3500"/>
    <n v="11"/>
    <n v="2"/>
    <n v="1"/>
    <x v="0"/>
  </r>
  <r>
    <n v="20"/>
    <x v="19"/>
    <x v="5"/>
    <x v="4"/>
    <n v="33"/>
    <s v="F"/>
    <n v="5403"/>
    <n v="10"/>
    <n v="4"/>
    <n v="1"/>
    <x v="0"/>
  </r>
  <r>
    <n v="21"/>
    <x v="20"/>
    <x v="4"/>
    <x v="0"/>
    <n v="31"/>
    <s v="F"/>
    <n v="2000"/>
    <n v="16"/>
    <n v="5"/>
    <n v="5"/>
    <x v="0"/>
  </r>
  <r>
    <n v="22"/>
    <x v="21"/>
    <x v="0"/>
    <x v="1"/>
    <n v="48"/>
    <s v="M"/>
    <n v="6322"/>
    <n v="14"/>
    <n v="1"/>
    <n v="2"/>
    <x v="0"/>
  </r>
  <r>
    <n v="23"/>
    <x v="22"/>
    <x v="5"/>
    <x v="0"/>
    <n v="29"/>
    <s v="M"/>
    <n v="3000"/>
    <n v="5"/>
    <n v="1"/>
    <n v="5"/>
    <x v="0"/>
  </r>
  <r>
    <n v="24"/>
    <x v="23"/>
    <x v="0"/>
    <x v="0"/>
    <n v="33"/>
    <s v="F"/>
    <n v="4500"/>
    <n v="15"/>
    <n v="1"/>
    <n v="0"/>
    <x v="0"/>
  </r>
  <r>
    <n v="25"/>
    <x v="24"/>
    <x v="5"/>
    <x v="0"/>
    <n v="48"/>
    <s v="M"/>
    <n v="4000"/>
    <n v="20"/>
    <n v="3"/>
    <n v="5"/>
    <x v="0"/>
  </r>
  <r>
    <n v="26"/>
    <x v="25"/>
    <x v="5"/>
    <x v="0"/>
    <n v="23"/>
    <s v="M"/>
    <n v="4200"/>
    <n v="1"/>
    <n v="5"/>
    <n v="2"/>
    <x v="0"/>
  </r>
  <r>
    <n v="27"/>
    <x v="26"/>
    <x v="5"/>
    <x v="2"/>
    <n v="27"/>
    <s v="F"/>
    <n v="4306"/>
    <n v="16"/>
    <n v="2"/>
    <n v="1"/>
    <x v="0"/>
  </r>
  <r>
    <n v="28"/>
    <x v="27"/>
    <x v="0"/>
    <x v="1"/>
    <n v="33"/>
    <s v="M"/>
    <n v="5222"/>
    <n v="4"/>
    <n v="2"/>
    <n v="1"/>
    <x v="0"/>
  </r>
  <r>
    <n v="29"/>
    <x v="28"/>
    <x v="5"/>
    <x v="0"/>
    <n v="31"/>
    <s v="M"/>
    <n v="3800"/>
    <n v="8"/>
    <n v="5"/>
    <n v="2"/>
    <x v="0"/>
  </r>
  <r>
    <n v="30"/>
    <x v="29"/>
    <x v="3"/>
    <x v="4"/>
    <n v="44"/>
    <s v="F"/>
    <n v="5200"/>
    <n v="5"/>
    <n v="1"/>
    <n v="2"/>
    <x v="0"/>
  </r>
  <r>
    <n v="31"/>
    <x v="30"/>
    <x v="1"/>
    <x v="3"/>
    <n v="43"/>
    <s v="M"/>
    <n v="7998"/>
    <n v="4"/>
    <n v="3"/>
    <n v="1"/>
    <x v="0"/>
  </r>
  <r>
    <n v="32"/>
    <x v="31"/>
    <x v="0"/>
    <x v="3"/>
    <n v="22"/>
    <s v="F"/>
    <n v="12500"/>
    <n v="8"/>
    <n v="5"/>
    <n v="1"/>
    <x v="0"/>
  </r>
  <r>
    <n v="33"/>
    <x v="32"/>
    <x v="2"/>
    <x v="2"/>
    <n v="56"/>
    <s v="M"/>
    <n v="8985"/>
    <n v="8"/>
    <n v="4"/>
    <n v="4"/>
    <x v="0"/>
  </r>
  <r>
    <n v="34"/>
    <x v="33"/>
    <x v="4"/>
    <x v="0"/>
    <n v="29"/>
    <s v="F"/>
    <n v="2300"/>
    <n v="5"/>
    <n v="2"/>
    <n v="4"/>
    <x v="0"/>
  </r>
  <r>
    <n v="35"/>
    <x v="34"/>
    <x v="5"/>
    <x v="2"/>
    <n v="44"/>
    <s v="F"/>
    <n v="5197"/>
    <n v="18"/>
    <n v="3"/>
    <n v="3"/>
    <x v="0"/>
  </r>
  <r>
    <n v="36"/>
    <x v="35"/>
    <x v="3"/>
    <x v="4"/>
    <n v="35"/>
    <s v="F"/>
    <n v="5529"/>
    <n v="14"/>
    <n v="5"/>
    <n v="3"/>
    <x v="0"/>
  </r>
  <r>
    <n v="37"/>
    <x v="36"/>
    <x v="1"/>
    <x v="0"/>
    <n v="29"/>
    <s v="F"/>
    <n v="3200"/>
    <n v="0"/>
    <n v="2"/>
    <n v="3"/>
    <x v="0"/>
  </r>
  <r>
    <n v="38"/>
    <x v="37"/>
    <x v="3"/>
    <x v="1"/>
    <n v="45"/>
    <s v="M"/>
    <n v="5500"/>
    <n v="10"/>
    <n v="2"/>
    <n v="2"/>
    <x v="0"/>
  </r>
  <r>
    <n v="39"/>
    <x v="38"/>
    <x v="1"/>
    <x v="4"/>
    <n v="28"/>
    <s v="M"/>
    <n v="7540"/>
    <n v="6"/>
    <n v="3"/>
    <n v="3"/>
    <x v="0"/>
  </r>
  <r>
    <n v="40"/>
    <x v="39"/>
    <x v="4"/>
    <x v="1"/>
    <n v="39"/>
    <s v="M"/>
    <n v="2900"/>
    <n v="14"/>
    <n v="2"/>
    <n v="2"/>
    <x v="0"/>
  </r>
  <r>
    <n v="41"/>
    <x v="40"/>
    <x v="0"/>
    <x v="4"/>
    <n v="40"/>
    <s v="M"/>
    <n v="7048"/>
    <n v="3"/>
    <n v="5"/>
    <n v="2"/>
    <x v="0"/>
  </r>
  <r>
    <n v="42"/>
    <x v="41"/>
    <x v="0"/>
    <x v="3"/>
    <n v="53"/>
    <s v="F"/>
    <n v="10000"/>
    <n v="5"/>
    <n v="1"/>
    <n v="4"/>
    <x v="0"/>
  </r>
  <r>
    <n v="43"/>
    <x v="42"/>
    <x v="5"/>
    <x v="1"/>
    <n v="24"/>
    <s v="M"/>
    <n v="5000"/>
    <n v="16"/>
    <n v="4"/>
    <n v="0"/>
    <x v="0"/>
  </r>
  <r>
    <n v="44"/>
    <x v="43"/>
    <x v="1"/>
    <x v="1"/>
    <n v="36"/>
    <s v="M"/>
    <n v="4000"/>
    <n v="3"/>
    <n v="4"/>
    <n v="3"/>
    <x v="0"/>
  </r>
  <r>
    <n v="45"/>
    <x v="44"/>
    <x v="1"/>
    <x v="3"/>
    <n v="45"/>
    <s v="M"/>
    <n v="8317"/>
    <n v="2"/>
    <n v="3"/>
    <n v="1"/>
    <x v="0"/>
  </r>
  <r>
    <n v="46"/>
    <x v="45"/>
    <x v="3"/>
    <x v="0"/>
    <n v="54"/>
    <s v="M"/>
    <n v="3500"/>
    <n v="12"/>
    <n v="3"/>
    <n v="4"/>
    <x v="0"/>
  </r>
  <r>
    <n v="47"/>
    <x v="46"/>
    <x v="0"/>
    <x v="2"/>
    <n v="25"/>
    <s v="M"/>
    <n v="5764"/>
    <n v="14"/>
    <n v="4"/>
    <n v="4"/>
    <x v="0"/>
  </r>
  <r>
    <n v="48"/>
    <x v="47"/>
    <x v="2"/>
    <x v="0"/>
    <n v="39"/>
    <s v="M"/>
    <n v="1800"/>
    <n v="18"/>
    <n v="2"/>
    <n v="5"/>
    <x v="0"/>
  </r>
  <r>
    <n v="49"/>
    <x v="48"/>
    <x v="4"/>
    <x v="3"/>
    <n v="23"/>
    <s v="F"/>
    <n v="10870"/>
    <n v="5"/>
    <n v="4"/>
    <n v="4"/>
    <x v="0"/>
  </r>
  <r>
    <n v="50"/>
    <x v="49"/>
    <x v="3"/>
    <x v="4"/>
    <n v="38"/>
    <s v="F"/>
    <n v="8324"/>
    <n v="8"/>
    <n v="1"/>
    <n v="0"/>
    <x v="0"/>
  </r>
  <r>
    <n v="51"/>
    <x v="50"/>
    <x v="2"/>
    <x v="4"/>
    <n v="47"/>
    <s v="M"/>
    <n v="5200"/>
    <n v="7"/>
    <n v="5"/>
    <n v="4"/>
    <x v="0"/>
  </r>
  <r>
    <n v="52"/>
    <x v="51"/>
    <x v="3"/>
    <x v="1"/>
    <n v="44"/>
    <s v="M"/>
    <n v="3599"/>
    <n v="15"/>
    <n v="3"/>
    <n v="5"/>
    <x v="0"/>
  </r>
  <r>
    <n v="53"/>
    <x v="52"/>
    <x v="1"/>
    <x v="4"/>
    <n v="52"/>
    <s v="M"/>
    <n v="8506"/>
    <n v="16"/>
    <n v="1"/>
    <n v="0"/>
    <x v="0"/>
  </r>
  <r>
    <n v="54"/>
    <x v="53"/>
    <x v="0"/>
    <x v="0"/>
    <n v="27"/>
    <s v="M"/>
    <n v="4500"/>
    <n v="3"/>
    <n v="3"/>
    <n v="1"/>
    <x v="0"/>
  </r>
  <r>
    <n v="55"/>
    <x v="54"/>
    <x v="0"/>
    <x v="3"/>
    <n v="41"/>
    <s v="F"/>
    <n v="16000"/>
    <n v="20"/>
    <n v="5"/>
    <n v="2"/>
    <x v="0"/>
  </r>
  <r>
    <n v="56"/>
    <x v="55"/>
    <x v="0"/>
    <x v="4"/>
    <n v="35"/>
    <s v="M"/>
    <n v="7000"/>
    <n v="3"/>
    <n v="1"/>
    <n v="1"/>
    <x v="0"/>
  </r>
  <r>
    <n v="57"/>
    <x v="56"/>
    <x v="5"/>
    <x v="3"/>
    <n v="44"/>
    <s v="M"/>
    <n v="11392"/>
    <n v="11"/>
    <n v="1"/>
    <n v="5"/>
    <x v="0"/>
  </r>
  <r>
    <n v="58"/>
    <x v="57"/>
    <x v="0"/>
    <x v="1"/>
    <n v="28"/>
    <s v="F"/>
    <n v="5809"/>
    <n v="2"/>
    <n v="4"/>
    <n v="0"/>
    <x v="0"/>
  </r>
  <r>
    <n v="59"/>
    <x v="58"/>
    <x v="5"/>
    <x v="4"/>
    <n v="31"/>
    <s v="F"/>
    <n v="4634"/>
    <n v="15"/>
    <n v="2"/>
    <n v="2"/>
    <x v="0"/>
  </r>
  <r>
    <n v="60"/>
    <x v="59"/>
    <x v="3"/>
    <x v="3"/>
    <n v="34"/>
    <s v="M"/>
    <n v="12600"/>
    <n v="7"/>
    <n v="3"/>
    <n v="0"/>
    <x v="0"/>
  </r>
  <r>
    <n v="61"/>
    <x v="18"/>
    <x v="3"/>
    <x v="3"/>
    <n v="41"/>
    <s v="F"/>
    <n v="11197"/>
    <n v="12"/>
    <n v="4"/>
    <n v="0"/>
    <x v="1"/>
  </r>
  <r>
    <n v="62"/>
    <x v="60"/>
    <x v="0"/>
    <x v="0"/>
    <n v="39"/>
    <s v="F"/>
    <n v="4000"/>
    <n v="4"/>
    <n v="1"/>
    <n v="5"/>
    <x v="1"/>
  </r>
  <r>
    <n v="63"/>
    <x v="61"/>
    <x v="1"/>
    <x v="0"/>
    <n v="28"/>
    <s v="M"/>
    <n v="3000"/>
    <n v="6"/>
    <n v="1"/>
    <n v="1"/>
    <x v="0"/>
  </r>
  <r>
    <n v="64"/>
    <x v="62"/>
    <x v="5"/>
    <x v="0"/>
    <n v="39"/>
    <s v="M"/>
    <n v="4337"/>
    <n v="17"/>
    <n v="3"/>
    <n v="1"/>
    <x v="1"/>
  </r>
  <r>
    <n v="65"/>
    <x v="63"/>
    <x v="0"/>
    <x v="1"/>
    <n v="28"/>
    <s v="F"/>
    <n v="5000"/>
    <n v="10"/>
    <n v="5"/>
    <n v="0"/>
    <x v="0"/>
  </r>
  <r>
    <n v="66"/>
    <x v="64"/>
    <x v="1"/>
    <x v="0"/>
    <n v="60"/>
    <s v="M"/>
    <n v="4000"/>
    <n v="0"/>
    <n v="3"/>
    <n v="5"/>
    <x v="1"/>
  </r>
  <r>
    <n v="67"/>
    <x v="65"/>
    <x v="5"/>
    <x v="1"/>
    <n v="38"/>
    <s v="F"/>
    <n v="4800"/>
    <n v="8"/>
    <n v="1"/>
    <n v="0"/>
    <x v="0"/>
  </r>
  <r>
    <n v="68"/>
    <x v="66"/>
    <x v="4"/>
    <x v="3"/>
    <n v="56"/>
    <s v="M"/>
    <n v="9908"/>
    <n v="3"/>
    <n v="5"/>
    <n v="2"/>
    <x v="0"/>
  </r>
  <r>
    <n v="69"/>
    <x v="67"/>
    <x v="1"/>
    <x v="1"/>
    <n v="39"/>
    <s v="F"/>
    <n v="3500"/>
    <n v="0"/>
    <n v="5"/>
    <n v="3"/>
    <x v="0"/>
  </r>
  <r>
    <n v="70"/>
    <x v="68"/>
    <x v="2"/>
    <x v="4"/>
    <n v="49"/>
    <s v="F"/>
    <n v="5000"/>
    <n v="8"/>
    <n v="4"/>
    <n v="3"/>
    <x v="1"/>
  </r>
  <r>
    <n v="71"/>
    <x v="69"/>
    <x v="3"/>
    <x v="3"/>
    <n v="34"/>
    <s v="F"/>
    <n v="12000"/>
    <n v="5"/>
    <n v="5"/>
    <n v="3"/>
    <x v="0"/>
  </r>
  <r>
    <n v="72"/>
    <x v="70"/>
    <x v="3"/>
    <x v="4"/>
    <n v="36"/>
    <s v="F"/>
    <n v="7748"/>
    <n v="12"/>
    <n v="4"/>
    <n v="4"/>
    <x v="1"/>
  </r>
  <r>
    <n v="73"/>
    <x v="71"/>
    <x v="5"/>
    <x v="3"/>
    <n v="44"/>
    <s v="M"/>
    <n v="10372"/>
    <n v="2"/>
    <n v="5"/>
    <n v="0"/>
    <x v="1"/>
  </r>
  <r>
    <n v="74"/>
    <x v="72"/>
    <x v="5"/>
    <x v="1"/>
    <n v="55"/>
    <s v="M"/>
    <n v="4500"/>
    <n v="15"/>
    <n v="1"/>
    <n v="2"/>
    <x v="1"/>
  </r>
  <r>
    <n v="75"/>
    <x v="73"/>
    <x v="4"/>
    <x v="0"/>
    <n v="40"/>
    <s v="F"/>
    <n v="3000"/>
    <n v="6"/>
    <n v="1"/>
    <n v="1"/>
    <x v="1"/>
  </r>
  <r>
    <n v="76"/>
    <x v="74"/>
    <x v="1"/>
    <x v="1"/>
    <n v="24"/>
    <s v="M"/>
    <n v="4500"/>
    <n v="7"/>
    <n v="4"/>
    <n v="4"/>
    <x v="1"/>
  </r>
  <r>
    <n v="77"/>
    <x v="75"/>
    <x v="5"/>
    <x v="2"/>
    <n v="22"/>
    <s v="F"/>
    <n v="8268"/>
    <n v="9"/>
    <n v="1"/>
    <n v="2"/>
    <x v="1"/>
  </r>
  <r>
    <n v="78"/>
    <x v="76"/>
    <x v="1"/>
    <x v="1"/>
    <n v="60"/>
    <s v="M"/>
    <n v="3617"/>
    <n v="18"/>
    <n v="5"/>
    <n v="3"/>
    <x v="0"/>
  </r>
  <r>
    <n v="79"/>
    <x v="77"/>
    <x v="0"/>
    <x v="1"/>
    <n v="39"/>
    <s v="F"/>
    <n v="5000"/>
    <n v="14"/>
    <n v="3"/>
    <n v="4"/>
    <x v="0"/>
  </r>
  <r>
    <n v="80"/>
    <x v="78"/>
    <x v="0"/>
    <x v="3"/>
    <n v="37"/>
    <s v="F"/>
    <n v="14000"/>
    <n v="11"/>
    <n v="1"/>
    <n v="1"/>
    <x v="1"/>
  </r>
  <r>
    <n v="81"/>
    <x v="79"/>
    <x v="2"/>
    <x v="1"/>
    <n v="43"/>
    <s v="F"/>
    <n v="3400"/>
    <n v="2"/>
    <n v="4"/>
    <n v="4"/>
    <x v="1"/>
  </r>
  <r>
    <n v="82"/>
    <x v="80"/>
    <x v="5"/>
    <x v="0"/>
    <n v="58"/>
    <s v="F"/>
    <n v="2800"/>
    <n v="2"/>
    <n v="4"/>
    <n v="3"/>
    <x v="1"/>
  </r>
  <r>
    <n v="83"/>
    <x v="81"/>
    <x v="4"/>
    <x v="1"/>
    <n v="25"/>
    <s v="F"/>
    <n v="2900"/>
    <n v="5"/>
    <n v="1"/>
    <n v="5"/>
    <x v="0"/>
  </r>
  <r>
    <n v="84"/>
    <x v="82"/>
    <x v="0"/>
    <x v="0"/>
    <n v="35"/>
    <s v="F"/>
    <n v="4000"/>
    <n v="20"/>
    <n v="4"/>
    <n v="5"/>
    <x v="0"/>
  </r>
  <r>
    <n v="85"/>
    <x v="83"/>
    <x v="5"/>
    <x v="0"/>
    <n v="37"/>
    <s v="M"/>
    <n v="3606"/>
    <n v="10"/>
    <n v="1"/>
    <n v="0"/>
    <x v="0"/>
  </r>
  <r>
    <n v="86"/>
    <x v="84"/>
    <x v="4"/>
    <x v="1"/>
    <n v="37"/>
    <s v="M"/>
    <n v="3907"/>
    <n v="7"/>
    <n v="3"/>
    <n v="3"/>
    <x v="0"/>
  </r>
  <r>
    <n v="87"/>
    <x v="85"/>
    <x v="1"/>
    <x v="4"/>
    <n v="23"/>
    <s v="F"/>
    <n v="4297"/>
    <n v="16"/>
    <n v="1"/>
    <n v="5"/>
    <x v="1"/>
  </r>
  <r>
    <n v="88"/>
    <x v="86"/>
    <x v="0"/>
    <x v="2"/>
    <n v="30"/>
    <s v="F"/>
    <n v="6200"/>
    <n v="8"/>
    <n v="5"/>
    <n v="4"/>
    <x v="0"/>
  </r>
  <r>
    <n v="89"/>
    <x v="87"/>
    <x v="1"/>
    <x v="4"/>
    <n v="60"/>
    <s v="F"/>
    <n v="4288"/>
    <n v="18"/>
    <n v="5"/>
    <n v="4"/>
    <x v="0"/>
  </r>
  <r>
    <n v="90"/>
    <x v="88"/>
    <x v="5"/>
    <x v="3"/>
    <n v="23"/>
    <s v="F"/>
    <n v="10200"/>
    <n v="4"/>
    <n v="1"/>
    <n v="0"/>
    <x v="1"/>
  </r>
  <r>
    <n v="91"/>
    <x v="89"/>
    <x v="4"/>
    <x v="4"/>
    <n v="35"/>
    <s v="M"/>
    <n v="4000"/>
    <n v="6"/>
    <n v="2"/>
    <n v="0"/>
    <x v="1"/>
  </r>
  <r>
    <n v="92"/>
    <x v="90"/>
    <x v="3"/>
    <x v="2"/>
    <n v="40"/>
    <s v="F"/>
    <n v="9904"/>
    <n v="20"/>
    <n v="2"/>
    <n v="1"/>
    <x v="0"/>
  </r>
  <r>
    <n v="93"/>
    <x v="91"/>
    <x v="1"/>
    <x v="4"/>
    <n v="58"/>
    <s v="M"/>
    <n v="5050"/>
    <n v="4"/>
    <n v="4"/>
    <n v="2"/>
    <x v="1"/>
  </r>
  <r>
    <n v="94"/>
    <x v="92"/>
    <x v="1"/>
    <x v="0"/>
    <n v="48"/>
    <s v="M"/>
    <n v="3802"/>
    <n v="13"/>
    <n v="4"/>
    <n v="1"/>
    <x v="1"/>
  </r>
  <r>
    <n v="95"/>
    <x v="93"/>
    <x v="3"/>
    <x v="4"/>
    <n v="39"/>
    <s v="M"/>
    <n v="4062"/>
    <n v="5"/>
    <n v="2"/>
    <n v="1"/>
    <x v="1"/>
  </r>
  <r>
    <n v="96"/>
    <x v="94"/>
    <x v="1"/>
    <x v="1"/>
    <n v="45"/>
    <s v="M"/>
    <n v="3172"/>
    <n v="12"/>
    <n v="4"/>
    <n v="3"/>
    <x v="1"/>
  </r>
  <r>
    <n v="97"/>
    <x v="95"/>
    <x v="1"/>
    <x v="4"/>
    <n v="55"/>
    <s v="F"/>
    <n v="4500"/>
    <n v="3"/>
    <n v="1"/>
    <n v="5"/>
    <x v="0"/>
  </r>
  <r>
    <n v="98"/>
    <x v="96"/>
    <x v="0"/>
    <x v="4"/>
    <n v="25"/>
    <s v="M"/>
    <n v="7000"/>
    <n v="12"/>
    <n v="3"/>
    <n v="3"/>
    <x v="0"/>
  </r>
  <r>
    <n v="99"/>
    <x v="97"/>
    <x v="0"/>
    <x v="4"/>
    <n v="55"/>
    <s v="F"/>
    <n v="4795"/>
    <n v="18"/>
    <n v="1"/>
    <n v="3"/>
    <x v="0"/>
  </r>
  <r>
    <n v="100"/>
    <x v="98"/>
    <x v="4"/>
    <x v="3"/>
    <n v="38"/>
    <s v="F"/>
    <n v="9480"/>
    <n v="16"/>
    <n v="5"/>
    <n v="2"/>
    <x v="0"/>
  </r>
  <r>
    <n v="101"/>
    <x v="99"/>
    <x v="3"/>
    <x v="1"/>
    <n v="23"/>
    <s v="F"/>
    <n v="3849"/>
    <n v="9"/>
    <n v="5"/>
    <n v="3"/>
    <x v="0"/>
  </r>
  <r>
    <n v="102"/>
    <x v="100"/>
    <x v="3"/>
    <x v="1"/>
    <n v="57"/>
    <s v="F"/>
    <n v="3900"/>
    <n v="1"/>
    <n v="2"/>
    <n v="0"/>
    <x v="0"/>
  </r>
  <r>
    <n v="103"/>
    <x v="101"/>
    <x v="5"/>
    <x v="3"/>
    <n v="36"/>
    <s v="F"/>
    <n v="8800"/>
    <n v="11"/>
    <n v="4"/>
    <n v="3"/>
    <x v="0"/>
  </r>
  <r>
    <n v="104"/>
    <x v="102"/>
    <x v="3"/>
    <x v="4"/>
    <n v="22"/>
    <s v="M"/>
    <n v="7500"/>
    <n v="17"/>
    <n v="3"/>
    <n v="4"/>
    <x v="0"/>
  </r>
  <r>
    <n v="105"/>
    <x v="103"/>
    <x v="4"/>
    <x v="1"/>
    <n v="53"/>
    <s v="M"/>
    <n v="3000"/>
    <n v="7"/>
    <n v="1"/>
    <n v="1"/>
    <x v="0"/>
  </r>
  <r>
    <n v="106"/>
    <x v="104"/>
    <x v="1"/>
    <x v="4"/>
    <n v="57"/>
    <s v="M"/>
    <n v="6510"/>
    <n v="6"/>
    <n v="2"/>
    <n v="5"/>
    <x v="0"/>
  </r>
  <r>
    <n v="107"/>
    <x v="105"/>
    <x v="3"/>
    <x v="4"/>
    <n v="60"/>
    <s v="M"/>
    <n v="5849"/>
    <n v="16"/>
    <n v="2"/>
    <n v="2"/>
    <x v="0"/>
  </r>
  <r>
    <n v="108"/>
    <x v="106"/>
    <x v="0"/>
    <x v="4"/>
    <n v="24"/>
    <s v="F"/>
    <n v="6500"/>
    <n v="7"/>
    <n v="4"/>
    <n v="0"/>
    <x v="0"/>
  </r>
  <r>
    <n v="109"/>
    <x v="107"/>
    <x v="1"/>
    <x v="1"/>
    <n v="46"/>
    <s v="M"/>
    <n v="4000"/>
    <n v="5"/>
    <n v="2"/>
    <n v="2"/>
    <x v="0"/>
  </r>
  <r>
    <n v="110"/>
    <x v="108"/>
    <x v="3"/>
    <x v="4"/>
    <n v="53"/>
    <s v="M"/>
    <n v="7500"/>
    <n v="19"/>
    <n v="4"/>
    <n v="5"/>
    <x v="0"/>
  </r>
  <r>
    <n v="111"/>
    <x v="109"/>
    <x v="0"/>
    <x v="2"/>
    <n v="50"/>
    <s v="F"/>
    <n v="11927"/>
    <n v="11"/>
    <n v="3"/>
    <n v="5"/>
    <x v="0"/>
  </r>
  <r>
    <n v="112"/>
    <x v="110"/>
    <x v="4"/>
    <x v="0"/>
    <n v="29"/>
    <s v="F"/>
    <n v="2300"/>
    <n v="17"/>
    <n v="4"/>
    <n v="0"/>
    <x v="0"/>
  </r>
  <r>
    <n v="113"/>
    <x v="111"/>
    <x v="1"/>
    <x v="4"/>
    <n v="26"/>
    <s v="M"/>
    <n v="4500"/>
    <n v="17"/>
    <n v="5"/>
    <n v="5"/>
    <x v="0"/>
  </r>
  <r>
    <n v="114"/>
    <x v="112"/>
    <x v="5"/>
    <x v="4"/>
    <n v="47"/>
    <s v="M"/>
    <n v="6321"/>
    <n v="3"/>
    <n v="2"/>
    <n v="0"/>
    <x v="0"/>
  </r>
  <r>
    <n v="115"/>
    <x v="113"/>
    <x v="1"/>
    <x v="1"/>
    <n v="43"/>
    <s v="F"/>
    <n v="3500"/>
    <n v="19"/>
    <n v="4"/>
    <n v="5"/>
    <x v="0"/>
  </r>
  <r>
    <n v="116"/>
    <x v="114"/>
    <x v="1"/>
    <x v="1"/>
    <n v="57"/>
    <s v="F"/>
    <n v="3600"/>
    <n v="0"/>
    <n v="5"/>
    <n v="2"/>
    <x v="0"/>
  </r>
  <r>
    <n v="117"/>
    <x v="115"/>
    <x v="0"/>
    <x v="2"/>
    <n v="36"/>
    <s v="M"/>
    <n v="8176"/>
    <n v="2"/>
    <n v="5"/>
    <n v="2"/>
    <x v="0"/>
  </r>
  <r>
    <n v="118"/>
    <x v="116"/>
    <x v="1"/>
    <x v="0"/>
    <n v="31"/>
    <s v="M"/>
    <n v="2000"/>
    <n v="20"/>
    <n v="4"/>
    <n v="2"/>
    <x v="0"/>
  </r>
  <r>
    <n v="119"/>
    <x v="117"/>
    <x v="0"/>
    <x v="2"/>
    <n v="58"/>
    <s v="F"/>
    <n v="9498"/>
    <n v="20"/>
    <n v="4"/>
    <n v="5"/>
    <x v="0"/>
  </r>
  <r>
    <n v="120"/>
    <x v="118"/>
    <x v="4"/>
    <x v="4"/>
    <n v="50"/>
    <s v="F"/>
    <n v="5000"/>
    <n v="7"/>
    <n v="5"/>
    <n v="0"/>
    <x v="0"/>
  </r>
  <r>
    <n v="121"/>
    <x v="119"/>
    <x v="0"/>
    <x v="0"/>
    <n v="38"/>
    <s v="F"/>
    <n v="4000"/>
    <n v="17"/>
    <n v="5"/>
    <n v="0"/>
    <x v="0"/>
  </r>
  <r>
    <n v="122"/>
    <x v="120"/>
    <x v="5"/>
    <x v="1"/>
    <n v="49"/>
    <s v="F"/>
    <n v="3900"/>
    <n v="0"/>
    <n v="4"/>
    <n v="4"/>
    <x v="0"/>
  </r>
  <r>
    <n v="123"/>
    <x v="121"/>
    <x v="0"/>
    <x v="1"/>
    <n v="29"/>
    <s v="M"/>
    <n v="4000"/>
    <n v="13"/>
    <n v="4"/>
    <n v="0"/>
    <x v="0"/>
  </r>
  <r>
    <n v="124"/>
    <x v="122"/>
    <x v="1"/>
    <x v="0"/>
    <n v="59"/>
    <s v="F"/>
    <n v="1900"/>
    <n v="19"/>
    <n v="4"/>
    <n v="3"/>
    <x v="0"/>
  </r>
  <r>
    <n v="125"/>
    <x v="123"/>
    <x v="4"/>
    <x v="1"/>
    <n v="45"/>
    <s v="M"/>
    <n v="3000"/>
    <n v="1"/>
    <n v="1"/>
    <n v="1"/>
    <x v="0"/>
  </r>
  <r>
    <n v="126"/>
    <x v="124"/>
    <x v="0"/>
    <x v="2"/>
    <n v="33"/>
    <s v="M"/>
    <n v="5800"/>
    <n v="11"/>
    <n v="1"/>
    <n v="0"/>
    <x v="0"/>
  </r>
  <r>
    <n v="127"/>
    <x v="125"/>
    <x v="4"/>
    <x v="1"/>
    <n v="47"/>
    <s v="F"/>
    <n v="3905"/>
    <n v="15"/>
    <n v="4"/>
    <n v="5"/>
    <x v="0"/>
  </r>
  <r>
    <n v="128"/>
    <x v="126"/>
    <x v="2"/>
    <x v="1"/>
    <n v="57"/>
    <s v="M"/>
    <n v="3000"/>
    <n v="17"/>
    <n v="3"/>
    <n v="5"/>
    <x v="0"/>
  </r>
  <r>
    <n v="129"/>
    <x v="127"/>
    <x v="0"/>
    <x v="1"/>
    <n v="31"/>
    <s v="M"/>
    <n v="3631"/>
    <n v="12"/>
    <n v="2"/>
    <n v="3"/>
    <x v="0"/>
  </r>
  <r>
    <n v="130"/>
    <x v="128"/>
    <x v="0"/>
    <x v="4"/>
    <n v="27"/>
    <s v="M"/>
    <n v="8200"/>
    <n v="8"/>
    <n v="5"/>
    <n v="1"/>
    <x v="0"/>
  </r>
  <r>
    <n v="131"/>
    <x v="129"/>
    <x v="0"/>
    <x v="0"/>
    <n v="39"/>
    <s v="M"/>
    <n v="3626"/>
    <n v="20"/>
    <n v="4"/>
    <n v="5"/>
    <x v="0"/>
  </r>
  <r>
    <n v="132"/>
    <x v="130"/>
    <x v="3"/>
    <x v="3"/>
    <n v="33"/>
    <s v="M"/>
    <n v="11500"/>
    <n v="12"/>
    <n v="4"/>
    <n v="1"/>
    <x v="0"/>
  </r>
  <r>
    <n v="133"/>
    <x v="131"/>
    <x v="5"/>
    <x v="1"/>
    <n v="43"/>
    <s v="F"/>
    <n v="5000"/>
    <n v="15"/>
    <n v="1"/>
    <n v="2"/>
    <x v="0"/>
  </r>
  <r>
    <n v="134"/>
    <x v="132"/>
    <x v="5"/>
    <x v="1"/>
    <n v="51"/>
    <s v="F"/>
    <n v="5610"/>
    <n v="20"/>
    <n v="2"/>
    <n v="3"/>
    <x v="0"/>
  </r>
  <r>
    <n v="135"/>
    <x v="133"/>
    <x v="1"/>
    <x v="1"/>
    <n v="28"/>
    <s v="M"/>
    <n v="4100"/>
    <n v="20"/>
    <n v="5"/>
    <n v="0"/>
    <x v="0"/>
  </r>
  <r>
    <n v="136"/>
    <x v="134"/>
    <x v="2"/>
    <x v="0"/>
    <n v="25"/>
    <s v="F"/>
    <n v="4438"/>
    <n v="6"/>
    <n v="4"/>
    <n v="4"/>
    <x v="0"/>
  </r>
  <r>
    <n v="137"/>
    <x v="135"/>
    <x v="1"/>
    <x v="3"/>
    <n v="56"/>
    <s v="M"/>
    <n v="9200"/>
    <n v="15"/>
    <n v="4"/>
    <n v="4"/>
    <x v="1"/>
  </r>
  <r>
    <n v="138"/>
    <x v="136"/>
    <x v="2"/>
    <x v="2"/>
    <n v="41"/>
    <s v="M"/>
    <n v="7000"/>
    <n v="13"/>
    <n v="2"/>
    <n v="5"/>
    <x v="1"/>
  </r>
  <r>
    <n v="139"/>
    <x v="137"/>
    <x v="2"/>
    <x v="4"/>
    <n v="36"/>
    <s v="F"/>
    <n v="5880"/>
    <n v="6"/>
    <n v="5"/>
    <n v="4"/>
    <x v="1"/>
  </r>
  <r>
    <n v="140"/>
    <x v="138"/>
    <x v="2"/>
    <x v="4"/>
    <n v="46"/>
    <s v="M"/>
    <n v="4925"/>
    <n v="10"/>
    <n v="3"/>
    <n v="5"/>
    <x v="0"/>
  </r>
  <r>
    <n v="141"/>
    <x v="139"/>
    <x v="1"/>
    <x v="4"/>
    <n v="22"/>
    <s v="M"/>
    <n v="5589"/>
    <n v="4"/>
    <n v="1"/>
    <n v="0"/>
    <x v="1"/>
  </r>
  <r>
    <n v="142"/>
    <x v="140"/>
    <x v="3"/>
    <x v="4"/>
    <n v="24"/>
    <s v="M"/>
    <n v="8000"/>
    <n v="12"/>
    <n v="2"/>
    <n v="3"/>
    <x v="1"/>
  </r>
  <r>
    <n v="143"/>
    <x v="141"/>
    <x v="5"/>
    <x v="3"/>
    <n v="42"/>
    <s v="M"/>
    <n v="13000"/>
    <n v="6"/>
    <n v="4"/>
    <n v="0"/>
    <x v="0"/>
  </r>
  <r>
    <n v="144"/>
    <x v="142"/>
    <x v="2"/>
    <x v="4"/>
    <n v="48"/>
    <s v="M"/>
    <n v="5200"/>
    <n v="9"/>
    <n v="4"/>
    <n v="5"/>
    <x v="1"/>
  </r>
  <r>
    <n v="145"/>
    <x v="143"/>
    <x v="2"/>
    <x v="4"/>
    <n v="26"/>
    <s v="M"/>
    <n v="8327"/>
    <n v="20"/>
    <n v="3"/>
    <n v="3"/>
    <x v="0"/>
  </r>
  <r>
    <n v="146"/>
    <x v="144"/>
    <x v="5"/>
    <x v="1"/>
    <n v="48"/>
    <s v="F"/>
    <n v="3096"/>
    <n v="8"/>
    <n v="3"/>
    <n v="1"/>
    <x v="1"/>
  </r>
  <r>
    <n v="147"/>
    <x v="145"/>
    <x v="0"/>
    <x v="0"/>
    <n v="40"/>
    <s v="M"/>
    <n v="4017"/>
    <n v="1"/>
    <n v="3"/>
    <n v="4"/>
    <x v="0"/>
  </r>
  <r>
    <n v="148"/>
    <x v="146"/>
    <x v="0"/>
    <x v="3"/>
    <n v="43"/>
    <s v="F"/>
    <n v="14000"/>
    <n v="10"/>
    <n v="3"/>
    <n v="4"/>
    <x v="0"/>
  </r>
  <r>
    <n v="149"/>
    <x v="147"/>
    <x v="1"/>
    <x v="0"/>
    <n v="44"/>
    <s v="M"/>
    <n v="4392"/>
    <n v="9"/>
    <n v="5"/>
    <n v="3"/>
    <x v="0"/>
  </r>
  <r>
    <n v="150"/>
    <x v="148"/>
    <x v="0"/>
    <x v="2"/>
    <n v="24"/>
    <s v="F"/>
    <n v="5900"/>
    <n v="5"/>
    <n v="4"/>
    <n v="4"/>
    <x v="0"/>
  </r>
  <r>
    <n v="151"/>
    <x v="149"/>
    <x v="2"/>
    <x v="1"/>
    <n v="35"/>
    <s v="F"/>
    <n v="2800"/>
    <n v="0"/>
    <n v="5"/>
    <n v="1"/>
    <x v="0"/>
  </r>
  <r>
    <n v="152"/>
    <x v="150"/>
    <x v="4"/>
    <x v="4"/>
    <n v="55"/>
    <s v="M"/>
    <n v="5767"/>
    <n v="5"/>
    <n v="4"/>
    <n v="2"/>
    <x v="0"/>
  </r>
  <r>
    <n v="153"/>
    <x v="151"/>
    <x v="4"/>
    <x v="1"/>
    <n v="31"/>
    <s v="F"/>
    <n v="3691"/>
    <n v="15"/>
    <n v="3"/>
    <n v="5"/>
    <x v="1"/>
  </r>
  <r>
    <n v="154"/>
    <x v="152"/>
    <x v="3"/>
    <x v="3"/>
    <n v="51"/>
    <s v="M"/>
    <n v="12300"/>
    <n v="18"/>
    <n v="3"/>
    <n v="4"/>
    <x v="1"/>
  </r>
  <r>
    <n v="155"/>
    <x v="153"/>
    <x v="2"/>
    <x v="0"/>
    <n v="27"/>
    <s v="F"/>
    <n v="2000"/>
    <n v="5"/>
    <n v="1"/>
    <n v="4"/>
    <x v="1"/>
  </r>
  <r>
    <n v="156"/>
    <x v="154"/>
    <x v="3"/>
    <x v="0"/>
    <n v="39"/>
    <s v="F"/>
    <n v="3000"/>
    <n v="5"/>
    <n v="3"/>
    <n v="1"/>
    <x v="1"/>
  </r>
  <r>
    <n v="157"/>
    <x v="155"/>
    <x v="4"/>
    <x v="0"/>
    <n v="53"/>
    <s v="F"/>
    <n v="2000"/>
    <n v="2"/>
    <n v="5"/>
    <n v="2"/>
    <x v="0"/>
  </r>
  <r>
    <n v="158"/>
    <x v="156"/>
    <x v="0"/>
    <x v="3"/>
    <n v="57"/>
    <s v="M"/>
    <n v="17000"/>
    <n v="6"/>
    <n v="3"/>
    <n v="1"/>
    <x v="0"/>
  </r>
  <r>
    <n v="159"/>
    <x v="157"/>
    <x v="2"/>
    <x v="0"/>
    <n v="54"/>
    <s v="F"/>
    <n v="1900"/>
    <n v="0"/>
    <n v="5"/>
    <n v="0"/>
    <x v="1"/>
  </r>
  <r>
    <n v="160"/>
    <x v="158"/>
    <x v="1"/>
    <x v="2"/>
    <n v="30"/>
    <s v="M"/>
    <n v="5000"/>
    <n v="5"/>
    <n v="3"/>
    <n v="0"/>
    <x v="0"/>
  </r>
  <r>
    <n v="161"/>
    <x v="159"/>
    <x v="3"/>
    <x v="1"/>
    <n v="22"/>
    <s v="F"/>
    <n v="7206"/>
    <n v="13"/>
    <n v="1"/>
    <n v="0"/>
    <x v="1"/>
  </r>
  <r>
    <n v="162"/>
    <x v="160"/>
    <x v="0"/>
    <x v="2"/>
    <n v="48"/>
    <s v="M"/>
    <n v="7462"/>
    <n v="19"/>
    <n v="4"/>
    <n v="0"/>
    <x v="0"/>
  </r>
  <r>
    <n v="163"/>
    <x v="161"/>
    <x v="0"/>
    <x v="2"/>
    <n v="40"/>
    <s v="F"/>
    <n v="6000"/>
    <n v="4"/>
    <n v="3"/>
    <n v="0"/>
    <x v="0"/>
  </r>
  <r>
    <n v="164"/>
    <x v="162"/>
    <x v="0"/>
    <x v="0"/>
    <n v="50"/>
    <s v="F"/>
    <n v="3800"/>
    <n v="3"/>
    <n v="3"/>
    <n v="1"/>
    <x v="1"/>
  </r>
  <r>
    <n v="165"/>
    <x v="163"/>
    <x v="0"/>
    <x v="2"/>
    <n v="57"/>
    <s v="F"/>
    <n v="6300"/>
    <n v="2"/>
    <n v="1"/>
    <n v="2"/>
    <x v="0"/>
  </r>
  <r>
    <n v="166"/>
    <x v="164"/>
    <x v="3"/>
    <x v="2"/>
    <n v="57"/>
    <s v="M"/>
    <n v="5000"/>
    <n v="16"/>
    <n v="2"/>
    <n v="3"/>
    <x v="1"/>
  </r>
  <r>
    <n v="167"/>
    <x v="165"/>
    <x v="2"/>
    <x v="1"/>
    <n v="60"/>
    <s v="F"/>
    <n v="3000"/>
    <n v="19"/>
    <n v="5"/>
    <n v="0"/>
    <x v="1"/>
  </r>
  <r>
    <n v="168"/>
    <x v="166"/>
    <x v="3"/>
    <x v="2"/>
    <n v="52"/>
    <s v="M"/>
    <n v="5000"/>
    <n v="14"/>
    <n v="2"/>
    <n v="5"/>
    <x v="1"/>
  </r>
  <r>
    <n v="169"/>
    <x v="167"/>
    <x v="3"/>
    <x v="0"/>
    <n v="34"/>
    <s v="M"/>
    <n v="4000"/>
    <n v="11"/>
    <n v="3"/>
    <n v="2"/>
    <x v="1"/>
  </r>
  <r>
    <n v="170"/>
    <x v="168"/>
    <x v="1"/>
    <x v="4"/>
    <n v="39"/>
    <s v="M"/>
    <n v="7135"/>
    <n v="2"/>
    <n v="4"/>
    <n v="2"/>
    <x v="0"/>
  </r>
  <r>
    <n v="171"/>
    <x v="169"/>
    <x v="4"/>
    <x v="1"/>
    <n v="42"/>
    <s v="M"/>
    <n v="3000"/>
    <n v="4"/>
    <n v="1"/>
    <n v="4"/>
    <x v="0"/>
  </r>
  <r>
    <n v="172"/>
    <x v="170"/>
    <x v="4"/>
    <x v="3"/>
    <n v="42"/>
    <s v="F"/>
    <n v="8900"/>
    <n v="13"/>
    <n v="5"/>
    <n v="2"/>
    <x v="1"/>
  </r>
  <r>
    <n v="173"/>
    <x v="171"/>
    <x v="2"/>
    <x v="3"/>
    <n v="27"/>
    <s v="M"/>
    <n v="9900"/>
    <n v="10"/>
    <n v="5"/>
    <n v="2"/>
    <x v="1"/>
  </r>
  <r>
    <n v="174"/>
    <x v="172"/>
    <x v="5"/>
    <x v="1"/>
    <n v="30"/>
    <s v="F"/>
    <n v="4300"/>
    <n v="8"/>
    <n v="3"/>
    <n v="2"/>
    <x v="1"/>
  </r>
  <r>
    <n v="175"/>
    <x v="173"/>
    <x v="0"/>
    <x v="4"/>
    <n v="40"/>
    <s v="F"/>
    <n v="7500"/>
    <n v="4"/>
    <n v="5"/>
    <n v="5"/>
    <x v="0"/>
  </r>
  <r>
    <n v="176"/>
    <x v="174"/>
    <x v="1"/>
    <x v="0"/>
    <n v="40"/>
    <s v="M"/>
    <n v="1800"/>
    <n v="18"/>
    <n v="5"/>
    <n v="1"/>
    <x v="0"/>
  </r>
  <r>
    <n v="177"/>
    <x v="175"/>
    <x v="1"/>
    <x v="4"/>
    <n v="47"/>
    <s v="F"/>
    <n v="8834"/>
    <n v="9"/>
    <n v="2"/>
    <n v="5"/>
    <x v="0"/>
  </r>
  <r>
    <n v="178"/>
    <x v="176"/>
    <x v="3"/>
    <x v="1"/>
    <n v="54"/>
    <s v="M"/>
    <n v="5000"/>
    <n v="10"/>
    <n v="4"/>
    <n v="1"/>
    <x v="0"/>
  </r>
  <r>
    <n v="179"/>
    <x v="177"/>
    <x v="3"/>
    <x v="4"/>
    <n v="40"/>
    <s v="M"/>
    <n v="6200"/>
    <n v="6"/>
    <n v="4"/>
    <n v="4"/>
    <x v="1"/>
  </r>
  <r>
    <n v="180"/>
    <x v="178"/>
    <x v="3"/>
    <x v="4"/>
    <n v="45"/>
    <s v="M"/>
    <n v="7728"/>
    <n v="9"/>
    <n v="5"/>
    <n v="0"/>
    <x v="1"/>
  </r>
  <r>
    <n v="181"/>
    <x v="179"/>
    <x v="2"/>
    <x v="3"/>
    <n v="47"/>
    <s v="F"/>
    <n v="8522"/>
    <n v="1"/>
    <n v="4"/>
    <n v="5"/>
    <x v="1"/>
  </r>
  <r>
    <n v="182"/>
    <x v="180"/>
    <x v="2"/>
    <x v="3"/>
    <n v="43"/>
    <s v="M"/>
    <n v="11593"/>
    <n v="7"/>
    <n v="2"/>
    <n v="0"/>
    <x v="0"/>
  </r>
  <r>
    <n v="183"/>
    <x v="181"/>
    <x v="1"/>
    <x v="1"/>
    <n v="52"/>
    <s v="M"/>
    <n v="3000"/>
    <n v="11"/>
    <n v="5"/>
    <n v="2"/>
    <x v="0"/>
  </r>
  <r>
    <n v="184"/>
    <x v="182"/>
    <x v="3"/>
    <x v="3"/>
    <n v="56"/>
    <s v="M"/>
    <n v="16000"/>
    <n v="16"/>
    <n v="1"/>
    <n v="3"/>
    <x v="0"/>
  </r>
  <r>
    <n v="185"/>
    <x v="183"/>
    <x v="2"/>
    <x v="0"/>
    <n v="25"/>
    <s v="M"/>
    <n v="1700"/>
    <n v="11"/>
    <n v="1"/>
    <n v="4"/>
    <x v="0"/>
  </r>
  <r>
    <n v="186"/>
    <x v="184"/>
    <x v="1"/>
    <x v="3"/>
    <n v="51"/>
    <s v="M"/>
    <n v="8800"/>
    <n v="9"/>
    <n v="3"/>
    <n v="2"/>
    <x v="0"/>
  </r>
  <r>
    <n v="187"/>
    <x v="185"/>
    <x v="4"/>
    <x v="0"/>
    <n v="51"/>
    <s v="M"/>
    <n v="2000"/>
    <n v="8"/>
    <n v="5"/>
    <n v="3"/>
    <x v="0"/>
  </r>
  <r>
    <n v="188"/>
    <x v="186"/>
    <x v="1"/>
    <x v="1"/>
    <n v="56"/>
    <s v="M"/>
    <n v="3200"/>
    <n v="15"/>
    <n v="2"/>
    <n v="4"/>
    <x v="0"/>
  </r>
  <r>
    <n v="189"/>
    <x v="187"/>
    <x v="0"/>
    <x v="0"/>
    <n v="23"/>
    <s v="M"/>
    <n v="3900"/>
    <n v="15"/>
    <n v="4"/>
    <n v="2"/>
    <x v="0"/>
  </r>
  <r>
    <n v="190"/>
    <x v="188"/>
    <x v="4"/>
    <x v="0"/>
    <n v="47"/>
    <s v="M"/>
    <n v="2000"/>
    <n v="5"/>
    <n v="2"/>
    <n v="5"/>
    <x v="0"/>
  </r>
  <r>
    <n v="191"/>
    <x v="189"/>
    <x v="0"/>
    <x v="4"/>
    <n v="33"/>
    <s v="F"/>
    <n v="6000"/>
    <n v="2"/>
    <n v="3"/>
    <n v="2"/>
    <x v="0"/>
  </r>
  <r>
    <n v="192"/>
    <x v="190"/>
    <x v="3"/>
    <x v="4"/>
    <n v="31"/>
    <s v="M"/>
    <n v="9901"/>
    <n v="6"/>
    <n v="2"/>
    <n v="2"/>
    <x v="0"/>
  </r>
  <r>
    <n v="193"/>
    <x v="191"/>
    <x v="4"/>
    <x v="1"/>
    <n v="37"/>
    <s v="M"/>
    <n v="2888"/>
    <n v="0"/>
    <n v="3"/>
    <n v="2"/>
    <x v="0"/>
  </r>
  <r>
    <n v="194"/>
    <x v="192"/>
    <x v="2"/>
    <x v="1"/>
    <n v="60"/>
    <s v="F"/>
    <n v="3200"/>
    <n v="16"/>
    <n v="5"/>
    <n v="4"/>
    <x v="0"/>
  </r>
  <r>
    <n v="195"/>
    <x v="193"/>
    <x v="4"/>
    <x v="1"/>
    <n v="28"/>
    <s v="F"/>
    <n v="2900"/>
    <n v="9"/>
    <n v="3"/>
    <n v="2"/>
    <x v="0"/>
  </r>
  <r>
    <n v="196"/>
    <x v="194"/>
    <x v="1"/>
    <x v="3"/>
    <n v="37"/>
    <s v="M"/>
    <n v="9683"/>
    <n v="6"/>
    <n v="2"/>
    <n v="5"/>
    <x v="0"/>
  </r>
  <r>
    <n v="197"/>
    <x v="195"/>
    <x v="1"/>
    <x v="0"/>
    <n v="47"/>
    <s v="F"/>
    <n v="3313"/>
    <n v="5"/>
    <n v="1"/>
    <n v="5"/>
    <x v="0"/>
  </r>
  <r>
    <n v="198"/>
    <x v="196"/>
    <x v="5"/>
    <x v="4"/>
    <n v="56"/>
    <s v="F"/>
    <n v="5694"/>
    <n v="1"/>
    <n v="4"/>
    <n v="3"/>
    <x v="0"/>
  </r>
  <r>
    <n v="199"/>
    <x v="197"/>
    <x v="0"/>
    <x v="2"/>
    <n v="51"/>
    <s v="M"/>
    <n v="6000"/>
    <n v="15"/>
    <n v="5"/>
    <n v="5"/>
    <x v="1"/>
  </r>
  <r>
    <n v="200"/>
    <x v="198"/>
    <x v="2"/>
    <x v="2"/>
    <n v="43"/>
    <s v="F"/>
    <n v="4700"/>
    <n v="5"/>
    <n v="5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22254C-285A-4059-9888-A86EA346375A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A4" firstHeaderRow="1" firstDataRow="1" firstDataCol="0"/>
  <pivotFields count="11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Contagem de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30E965-189E-47C4-9E73-F809F892482D}" name="Tabela dinâ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1:A12" firstHeaderRow="1" firstDataRow="1" firstDataCol="0"/>
  <pivotFields count="11"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oma de Salário" fld="6" baseField="0" baseItem="0" numFmtId="44"/>
  </dataFields>
  <formats count="1">
    <format dxfId="3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9F82D2-9E12-4E49-9558-959C85905138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7:A8" firstHeaderRow="1" firstDataRow="1" firstDataCol="0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Items count="1">
    <i/>
  </rowItems>
  <colItems count="1">
    <i/>
  </colItems>
  <dataFields count="1">
    <dataField name="Média de Satisfação no Trabalho" fld="8" subtotal="average" baseField="0" baseItem="0" numFmtId="2"/>
  </dataFields>
  <formats count="1">
    <format dxfId="3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39DEF4-462E-42D5-A945-6521318BB6C8}" name="Turnover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3:B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">
        <item x="0"/>
        <item x="1"/>
        <item t="default"/>
      </items>
    </pivotField>
  </pivotFields>
  <rowFields count="1">
    <field x="10"/>
  </rowFields>
  <rowItems count="3">
    <i>
      <x/>
    </i>
    <i>
      <x v="1"/>
    </i>
    <i t="grand">
      <x/>
    </i>
  </rowItems>
  <colItems count="1">
    <i/>
  </colItems>
  <dataFields count="1">
    <dataField name="Turnover" fld="10" subtotal="count" baseField="10" baseItem="0"/>
  </dataFields>
  <chartFormats count="3"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297E9C-1A43-4121-8017-78CB9766D5CC}" name="Tabela dinâ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A3:B10" firstHeaderRow="1" firstDataRow="1" firstDataCol="1" rowPageCount="1" colPageCount="1"/>
  <pivotFields count="11">
    <pivotField showAll="0"/>
    <pivotField showAll="0"/>
    <pivotField axis="axisRow" showAll="0" sortType="ascending">
      <items count="7">
        <item sd="0" x="3"/>
        <item sd="0" x="5"/>
        <item sd="0" x="2"/>
        <item sd="0" x="4"/>
        <item sd="0" x="0"/>
        <item sd="0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6">
        <item x="1"/>
        <item x="0"/>
        <item x="2"/>
        <item x="4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axis="axisPage" dataField="1" showAll="0">
      <items count="3">
        <item x="0"/>
        <item x="1"/>
        <item t="default"/>
      </items>
    </pivotField>
  </pivotFields>
  <rowFields count="1">
    <field x="2"/>
  </rowFields>
  <rowItems count="7">
    <i>
      <x v="4"/>
    </i>
    <i>
      <x v="3"/>
    </i>
    <i>
      <x v="1"/>
    </i>
    <i>
      <x v="5"/>
    </i>
    <i>
      <x v="2"/>
    </i>
    <i>
      <x/>
    </i>
    <i t="grand">
      <x/>
    </i>
  </rowItems>
  <colItems count="1">
    <i/>
  </colItems>
  <pageFields count="1">
    <pageField fld="10" item="1" hier="-1"/>
  </pageFields>
  <dataFields count="1">
    <dataField name="Contagem de Rotatividade" fld="1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45D0C4-ABAA-4270-83A2-2F14C7EFC455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A3:B10" firstHeaderRow="1" firstDataRow="1" firstDataCol="1"/>
  <pivotFields count="11">
    <pivotField showAll="0"/>
    <pivotField showAll="0"/>
    <pivotField axis="axisRow" showAll="0" sortType="descending">
      <items count="7">
        <item x="3"/>
        <item x="5"/>
        <item x="2"/>
        <item x="4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7">
    <i>
      <x v="2"/>
    </i>
    <i>
      <x v="4"/>
    </i>
    <i>
      <x v="5"/>
    </i>
    <i>
      <x v="3"/>
    </i>
    <i>
      <x/>
    </i>
    <i>
      <x v="1"/>
    </i>
    <i t="grand">
      <x/>
    </i>
  </rowItems>
  <colItems count="1">
    <i/>
  </colItems>
  <dataFields count="1">
    <dataField name="Média de Satisfação no Trabalho" fld="8" subtotal="average" baseField="2" baseItem="0"/>
  </dataFields>
  <formats count="1">
    <format dxfId="29">
      <pivotArea collapsedLevelsAreSubtotals="1" fieldPosition="0">
        <references count="1">
          <reference field="2" count="0"/>
        </references>
      </pivotArea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FBE016-A51F-4EBB-B801-03E16BB86F91}" name="Tabela dinâ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A3:B10" firstHeaderRow="1" firstDataRow="1" firstDataCol="1"/>
  <pivotFields count="11">
    <pivotField showAll="0"/>
    <pivotField showAll="0"/>
    <pivotField axis="axisRow" showAll="0" sortType="descending">
      <items count="7">
        <item x="3"/>
        <item x="5"/>
        <item x="2"/>
        <item x="4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6">
        <item x="1"/>
        <item x="0"/>
        <item x="2"/>
        <item x="4"/>
        <item x="3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2"/>
  </rowFields>
  <rowItems count="7">
    <i>
      <x/>
    </i>
    <i>
      <x v="4"/>
    </i>
    <i>
      <x v="1"/>
    </i>
    <i>
      <x v="5"/>
    </i>
    <i>
      <x v="2"/>
    </i>
    <i>
      <x v="3"/>
    </i>
    <i t="grand">
      <x/>
    </i>
  </rowItems>
  <colItems count="1">
    <i/>
  </colItems>
  <dataFields count="1">
    <dataField name="Média de Salário" fld="6" subtotal="average" baseField="2" baseItem="0"/>
  </dataFields>
  <formats count="1">
    <format dxfId="28">
      <pivotArea collapsedLevelsAreSubtotals="1" fieldPosition="0">
        <references count="1">
          <reference field="2" count="0"/>
        </references>
      </pivotArea>
    </format>
  </formats>
  <chartFormats count="1"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392495-6DB6-4AB7-8FEA-E5738AA184FF}" name="Tabela dinâ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9" firstHeaderRow="1" firstDataRow="1" firstDataCol="1"/>
  <pivotFields count="11">
    <pivotField showAll="0"/>
    <pivotField showAll="0"/>
    <pivotField showAll="0"/>
    <pivotField axis="axisRow" showAll="0" sortType="descending">
      <items count="6">
        <item x="1"/>
        <item x="0"/>
        <item x="2"/>
        <item x="4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3"/>
  </rowFields>
  <rowItems count="6">
    <i>
      <x v="4"/>
    </i>
    <i>
      <x v="2"/>
    </i>
    <i>
      <x v="3"/>
    </i>
    <i>
      <x/>
    </i>
    <i>
      <x v="1"/>
    </i>
    <i t="grand">
      <x/>
    </i>
  </rowItems>
  <colItems count="1">
    <i/>
  </colItems>
  <dataFields count="1">
    <dataField name="Média de Salário" fld="6" subtotal="average" baseField="3" baseItem="0"/>
  </dataFields>
  <formats count="19">
    <format dxfId="27">
      <pivotArea collapsedLevelsAreSubtotals="1" fieldPosition="0">
        <references count="1">
          <reference field="3" count="0"/>
        </references>
      </pivotArea>
    </format>
    <format dxfId="26">
      <pivotArea collapsedLevelsAreSubtotals="1" fieldPosition="0">
        <references count="1">
          <reference field="3" count="0"/>
        </references>
      </pivotArea>
    </format>
    <format dxfId="25">
      <pivotArea dataOnly="0" labelOnly="1" fieldPosition="0">
        <references count="1">
          <reference field="3" count="0"/>
        </references>
      </pivotArea>
    </format>
    <format dxfId="24">
      <pivotArea collapsedLevelsAreSubtotals="1" fieldPosition="0">
        <references count="1">
          <reference field="3" count="0"/>
        </references>
      </pivotArea>
    </format>
    <format dxfId="23">
      <pivotArea dataOnly="0" labelOnly="1" fieldPosition="0">
        <references count="1">
          <reference field="3" count="0"/>
        </references>
      </pivotArea>
    </format>
    <format dxfId="22">
      <pivotArea collapsedLevelsAreSubtotals="1" fieldPosition="0">
        <references count="1">
          <reference field="3" count="0"/>
        </references>
      </pivotArea>
    </format>
    <format dxfId="21">
      <pivotArea dataOnly="0" labelOnly="1" fieldPosition="0">
        <references count="1">
          <reference field="3" count="0"/>
        </references>
      </pivotArea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3" type="button" dataOnly="0" labelOnly="1" outline="0" axis="axisRow" fieldPosition="0"/>
    </format>
    <format dxfId="17">
      <pivotArea dataOnly="0" labelOnly="1" fieldPosition="0">
        <references count="1">
          <reference field="3" count="0"/>
        </references>
      </pivotArea>
    </format>
    <format dxfId="16">
      <pivotArea dataOnly="0" labelOnly="1" grandRow="1" outline="0" fieldPosition="0"/>
    </format>
    <format dxfId="15">
      <pivotArea dataOnly="0" labelOnly="1" outline="0" axis="axisValues" fieldPosition="0"/>
    </format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3" type="button" dataOnly="0" labelOnly="1" outline="0" axis="axisRow" fieldPosition="0"/>
    </format>
    <format dxfId="11">
      <pivotArea dataOnly="0" labelOnly="1" fieldPosition="0">
        <references count="1">
          <reference field="3" count="0"/>
        </references>
      </pivotArea>
    </format>
    <format dxfId="10">
      <pivotArea dataOnly="0" labelOnly="1" grandRow="1" outline="0" fieldPosition="0"/>
    </format>
    <format dxfId="9">
      <pivotArea dataOnly="0" labelOnly="1" outline="0" axis="axisValues" fieldPosition="0"/>
    </format>
  </formats>
  <pivotTableStyleInfo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D6A5D-1D2E-4EEC-8C24-D87968C52375}" name="Tabela dinâmica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15" firstHeaderRow="1" firstDataRow="1" firstDataCol="1"/>
  <pivotFields count="11">
    <pivotField showAll="0"/>
    <pivotField axis="axisRow" showAll="0" measureFilter="1" sortType="descending" maxSubtotal="1">
      <items count="200">
        <item x="113"/>
        <item x="131"/>
        <item x="115"/>
        <item x="137"/>
        <item x="5"/>
        <item x="108"/>
        <item x="67"/>
        <item x="79"/>
        <item x="89"/>
        <item x="81"/>
        <item x="21"/>
        <item x="149"/>
        <item x="28"/>
        <item x="182"/>
        <item x="18"/>
        <item x="1"/>
        <item x="35"/>
        <item x="101"/>
        <item x="100"/>
        <item x="45"/>
        <item x="29"/>
        <item x="120"/>
        <item x="66"/>
        <item x="84"/>
        <item x="69"/>
        <item x="178"/>
        <item x="82"/>
        <item x="170"/>
        <item x="159"/>
        <item x="20"/>
        <item x="125"/>
        <item x="192"/>
        <item x="30"/>
        <item x="17"/>
        <item x="163"/>
        <item x="109"/>
        <item x="122"/>
        <item x="185"/>
        <item x="78"/>
        <item x="177"/>
        <item x="121"/>
        <item x="171"/>
        <item x="0"/>
        <item x="52"/>
        <item x="4"/>
        <item x="87"/>
        <item x="133"/>
        <item x="198"/>
        <item x="44"/>
        <item x="71"/>
        <item x="123"/>
        <item x="166"/>
        <item x="16"/>
        <item x="47"/>
        <item x="180"/>
        <item x="64"/>
        <item x="93"/>
        <item x="154"/>
        <item x="61"/>
        <item x="80"/>
        <item x="63"/>
        <item x="88"/>
        <item x="188"/>
        <item x="160"/>
        <item x="37"/>
        <item x="112"/>
        <item x="41"/>
        <item x="187"/>
        <item x="13"/>
        <item x="107"/>
        <item x="191"/>
        <item x="165"/>
        <item x="83"/>
        <item x="197"/>
        <item x="193"/>
        <item x="8"/>
        <item x="140"/>
        <item x="36"/>
        <item x="138"/>
        <item x="10"/>
        <item x="145"/>
        <item x="152"/>
        <item x="86"/>
        <item x="85"/>
        <item x="40"/>
        <item x="68"/>
        <item x="147"/>
        <item x="195"/>
        <item x="90"/>
        <item x="26"/>
        <item x="97"/>
        <item x="46"/>
        <item x="38"/>
        <item x="14"/>
        <item x="91"/>
        <item x="59"/>
        <item x="161"/>
        <item x="186"/>
        <item x="23"/>
        <item x="22"/>
        <item x="196"/>
        <item x="141"/>
        <item x="39"/>
        <item x="77"/>
        <item x="162"/>
        <item x="136"/>
        <item x="42"/>
        <item x="75"/>
        <item x="7"/>
        <item x="104"/>
        <item x="92"/>
        <item x="139"/>
        <item x="194"/>
        <item x="167"/>
        <item x="74"/>
        <item x="153"/>
        <item x="179"/>
        <item x="49"/>
        <item x="184"/>
        <item x="128"/>
        <item x="56"/>
        <item x="103"/>
        <item x="190"/>
        <item x="148"/>
        <item x="119"/>
        <item x="106"/>
        <item x="102"/>
        <item x="124"/>
        <item x="34"/>
        <item x="129"/>
        <item x="114"/>
        <item x="110"/>
        <item x="146"/>
        <item x="55"/>
        <item x="53"/>
        <item x="32"/>
        <item x="70"/>
        <item x="51"/>
        <item x="73"/>
        <item x="181"/>
        <item x="58"/>
        <item x="142"/>
        <item x="95"/>
        <item x="143"/>
        <item x="9"/>
        <item x="169"/>
        <item x="183"/>
        <item x="135"/>
        <item x="174"/>
        <item x="3"/>
        <item x="99"/>
        <item x="48"/>
        <item x="157"/>
        <item x="155"/>
        <item x="189"/>
        <item x="132"/>
        <item x="60"/>
        <item x="6"/>
        <item x="172"/>
        <item x="76"/>
        <item x="168"/>
        <item x="151"/>
        <item x="54"/>
        <item x="175"/>
        <item x="117"/>
        <item x="50"/>
        <item x="24"/>
        <item x="15"/>
        <item x="105"/>
        <item x="96"/>
        <item x="164"/>
        <item x="12"/>
        <item x="31"/>
        <item x="127"/>
        <item x="72"/>
        <item x="57"/>
        <item x="65"/>
        <item x="19"/>
        <item x="62"/>
        <item x="43"/>
        <item x="158"/>
        <item x="94"/>
        <item x="98"/>
        <item x="33"/>
        <item x="176"/>
        <item x="150"/>
        <item x="116"/>
        <item x="144"/>
        <item x="2"/>
        <item x="27"/>
        <item x="11"/>
        <item x="173"/>
        <item x="134"/>
        <item x="126"/>
        <item x="156"/>
        <item x="25"/>
        <item x="118"/>
        <item x="111"/>
        <item x="130"/>
        <item t="max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1"/>
  </rowFields>
  <rowItems count="12">
    <i>
      <x v="14"/>
    </i>
    <i>
      <x v="162"/>
    </i>
    <i>
      <x v="166"/>
    </i>
    <i>
      <x v="26"/>
    </i>
    <i>
      <x v="155"/>
    </i>
    <i>
      <x v="46"/>
    </i>
    <i>
      <x v="164"/>
    </i>
    <i>
      <x v="88"/>
    </i>
    <i>
      <x v="186"/>
    </i>
    <i>
      <x v="129"/>
    </i>
    <i>
      <x v="143"/>
    </i>
    <i t="grand">
      <x/>
    </i>
  </rowItems>
  <colItems count="1">
    <i/>
  </colItems>
  <dataFields count="1">
    <dataField name="Soma de Anos na Empresa" fld="7" baseField="0" baseItem="0"/>
  </dataFields>
  <formats count="9">
    <format dxfId="8">
      <pivotArea collapsedLevelsAreSubtotals="1" fieldPosition="0">
        <references count="1">
          <reference field="1" count="11">
            <x v="14"/>
            <x v="26"/>
            <x v="46"/>
            <x v="88"/>
            <x v="129"/>
            <x v="143"/>
            <x v="155"/>
            <x v="162"/>
            <x v="164"/>
            <x v="166"/>
            <x v="186"/>
          </reference>
        </references>
      </pivotArea>
    </format>
    <format dxfId="7">
      <pivotArea dataOnly="0" labelOnly="1" fieldPosition="0">
        <references count="1">
          <reference field="1" count="11">
            <x v="14"/>
            <x v="26"/>
            <x v="46"/>
            <x v="88"/>
            <x v="129"/>
            <x v="143"/>
            <x v="155"/>
            <x v="162"/>
            <x v="164"/>
            <x v="166"/>
            <x v="186"/>
          </reference>
        </references>
      </pivotArea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dataOnly="0" labelOnly="1" grandRow="1" outline="0" fieldPosition="0"/>
    </format>
    <format dxfId="3">
      <pivotArea collapsedLevelsAreSubtotals="1" fieldPosition="0">
        <references count="1">
          <reference field="1" count="11">
            <x v="14"/>
            <x v="26"/>
            <x v="46"/>
            <x v="88"/>
            <x v="129"/>
            <x v="143"/>
            <x v="155"/>
            <x v="162"/>
            <x v="164"/>
            <x v="166"/>
            <x v="186"/>
          </reference>
        </references>
      </pivotArea>
    </format>
    <format dxfId="2">
      <pivotArea field="1" type="button" dataOnly="0" labelOnly="1" outline="0" axis="axisRow" fieldPosition="0"/>
    </format>
    <format dxfId="1">
      <pivotArea dataOnly="0" labelOnly="1" fieldPosition="0">
        <references count="1">
          <reference field="1" count="11">
            <x v="14"/>
            <x v="26"/>
            <x v="46"/>
            <x v="88"/>
            <x v="129"/>
            <x v="143"/>
            <x v="155"/>
            <x v="162"/>
            <x v="164"/>
            <x v="166"/>
            <x v="186"/>
          </reference>
        </references>
      </pivotArea>
    </format>
    <format dxfId="0">
      <pivotArea dataOnly="0" labelOnly="1" outline="0" axis="axisValues" fieldPosition="0"/>
    </format>
  </formats>
  <pivotTableStyleInfo showRowHeaders="1" showColHeaders="1" showRowStripes="0" showColStripes="0" showLastColumn="1"/>
  <filters count="1">
    <filter fld="1" type="count" evalOrder="-1" id="4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A223F2-9AFA-4760-8186-9BC2EE0CDB4B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B4:C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">
        <item x="0"/>
        <item x="1"/>
        <item t="default"/>
      </items>
    </pivotField>
  </pivotFields>
  <rowFields count="1">
    <field x="10"/>
  </rowFields>
  <rowItems count="3">
    <i>
      <x/>
    </i>
    <i>
      <x v="1"/>
    </i>
    <i t="grand">
      <x/>
    </i>
  </rowItems>
  <colItems count="1">
    <i/>
  </colItems>
  <dataFields count="1">
    <dataField name="Turnover" fld="10" subtotal="count" baseField="10" baseItem="0"/>
  </dataFields>
  <chartFormats count="3"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3A9687-4E06-40F7-8DB8-B78B386912CF}" name="Tabela dinâ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K2:M19" firstHeaderRow="1" firstDataRow="1" firstDataCol="0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webextension1.xml><?xml version="1.0" encoding="utf-8"?>
<we:webextension xmlns:we="http://schemas.microsoft.com/office/webextensions/webextension/2010/11" id="{11677639-0FC6-F2F8-42FB-6242E8BB6CDD}">
  <we:reference id="wa104104476" version="1.3.0.0" store="pt-BR" storeType="OMEX"/>
  <we:alternateReferences/>
  <we:properties>
    <we:property name="sku" value="&quot;peoplebar-giant&quot;"/>
    <we:property name="theme" value="&quot;giant-greengrey&quot;"/>
    <we:property name="shape" value="&quot;muscle-people&quot;"/>
    <we:property name="layout-element-title" value="&quot;NÚMEROS SOBRE O APLICATIVO&quot;"/>
  </we:properties>
  <we:bindings>
    <we:binding id="dataVizBinding" type="matrix" appref="{E1CE3524-3115-48E9-8FC4-E811114BA2C8}"/>
  </we:bindings>
  <we:snapshot xmlns:r="http://schemas.openxmlformats.org/officeDocument/2006/relationships" r:embed="rId1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01"/>
  <sheetViews>
    <sheetView showGridLines="0" workbookViewId="0">
      <selection activeCell="E6" sqref="E6"/>
    </sheetView>
  </sheetViews>
  <sheetFormatPr defaultRowHeight="15" x14ac:dyDescent="0.25"/>
  <cols>
    <col min="1" max="1" width="7.42578125" bestFit="1" customWidth="1"/>
    <col min="2" max="2" width="29.140625" bestFit="1" customWidth="1"/>
    <col min="3" max="3" width="18.5703125" bestFit="1" customWidth="1"/>
    <col min="4" max="4" width="14.5703125" bestFit="1" customWidth="1"/>
    <col min="5" max="5" width="10.5703125" bestFit="1" customWidth="1"/>
    <col min="6" max="6" width="12.28515625" bestFit="1" customWidth="1"/>
    <col min="7" max="7" width="11.5703125" bestFit="1" customWidth="1"/>
    <col min="8" max="8" width="20.7109375" bestFit="1" customWidth="1"/>
    <col min="9" max="9" width="25.5703125" bestFit="1" customWidth="1"/>
    <col min="10" max="10" width="18" bestFit="1" customWidth="1"/>
    <col min="11" max="11" width="16.85546875" bestFit="1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  <row r="2" spans="1:11" x14ac:dyDescent="0.25">
      <c r="A2">
        <v>1</v>
      </c>
      <c r="B2" t="s">
        <v>11</v>
      </c>
      <c r="C2" t="s">
        <v>210</v>
      </c>
      <c r="D2" t="s">
        <v>216</v>
      </c>
      <c r="E2">
        <v>29</v>
      </c>
      <c r="F2" t="s">
        <v>221</v>
      </c>
      <c r="G2">
        <v>4000</v>
      </c>
      <c r="H2">
        <v>18</v>
      </c>
      <c r="I2">
        <v>5</v>
      </c>
      <c r="J2">
        <v>1</v>
      </c>
      <c r="K2" t="s">
        <v>223</v>
      </c>
    </row>
    <row r="3" spans="1:11" x14ac:dyDescent="0.25">
      <c r="A3">
        <v>2</v>
      </c>
      <c r="B3" t="s">
        <v>12</v>
      </c>
      <c r="C3" t="s">
        <v>210</v>
      </c>
      <c r="D3" t="s">
        <v>217</v>
      </c>
      <c r="E3">
        <v>49</v>
      </c>
      <c r="F3" t="s">
        <v>221</v>
      </c>
      <c r="G3">
        <v>7753</v>
      </c>
      <c r="H3">
        <v>0</v>
      </c>
      <c r="I3">
        <v>4</v>
      </c>
      <c r="J3">
        <v>2</v>
      </c>
      <c r="K3" t="s">
        <v>223</v>
      </c>
    </row>
    <row r="4" spans="1:11" x14ac:dyDescent="0.25">
      <c r="A4">
        <v>3</v>
      </c>
      <c r="B4" t="s">
        <v>13</v>
      </c>
      <c r="C4" t="s">
        <v>211</v>
      </c>
      <c r="D4" t="s">
        <v>216</v>
      </c>
      <c r="E4">
        <v>57</v>
      </c>
      <c r="F4" t="s">
        <v>221</v>
      </c>
      <c r="G4">
        <v>2800</v>
      </c>
      <c r="H4">
        <v>14</v>
      </c>
      <c r="I4">
        <v>2</v>
      </c>
      <c r="J4">
        <v>0</v>
      </c>
      <c r="K4" t="s">
        <v>223</v>
      </c>
    </row>
    <row r="5" spans="1:11" x14ac:dyDescent="0.25">
      <c r="A5">
        <v>4</v>
      </c>
      <c r="B5" t="s">
        <v>14</v>
      </c>
      <c r="C5" t="s">
        <v>210</v>
      </c>
      <c r="D5" t="s">
        <v>218</v>
      </c>
      <c r="E5">
        <v>41</v>
      </c>
      <c r="F5" t="s">
        <v>221</v>
      </c>
      <c r="G5">
        <v>5787</v>
      </c>
      <c r="H5">
        <v>17</v>
      </c>
      <c r="I5">
        <v>5</v>
      </c>
      <c r="J5">
        <v>2</v>
      </c>
      <c r="K5" t="s">
        <v>223</v>
      </c>
    </row>
    <row r="6" spans="1:11" x14ac:dyDescent="0.25">
      <c r="A6">
        <v>5</v>
      </c>
      <c r="B6" t="s">
        <v>15</v>
      </c>
      <c r="C6" t="s">
        <v>211</v>
      </c>
      <c r="D6" t="s">
        <v>217</v>
      </c>
      <c r="E6">
        <v>30</v>
      </c>
      <c r="F6" t="s">
        <v>221</v>
      </c>
      <c r="G6">
        <v>7736</v>
      </c>
      <c r="H6">
        <v>14</v>
      </c>
      <c r="I6">
        <v>3</v>
      </c>
      <c r="J6">
        <v>2</v>
      </c>
      <c r="K6" t="s">
        <v>223</v>
      </c>
    </row>
    <row r="7" spans="1:11" x14ac:dyDescent="0.25">
      <c r="A7">
        <v>6</v>
      </c>
      <c r="B7" t="s">
        <v>16</v>
      </c>
      <c r="C7" t="s">
        <v>212</v>
      </c>
      <c r="D7" t="s">
        <v>217</v>
      </c>
      <c r="E7">
        <v>37</v>
      </c>
      <c r="F7" t="s">
        <v>221</v>
      </c>
      <c r="G7">
        <v>4000</v>
      </c>
      <c r="H7">
        <v>0</v>
      </c>
      <c r="I7">
        <v>4</v>
      </c>
      <c r="J7">
        <v>0</v>
      </c>
      <c r="K7" t="s">
        <v>223</v>
      </c>
    </row>
    <row r="8" spans="1:11" x14ac:dyDescent="0.25">
      <c r="A8">
        <v>7</v>
      </c>
      <c r="B8" t="s">
        <v>17</v>
      </c>
      <c r="C8" t="s">
        <v>211</v>
      </c>
      <c r="D8" t="s">
        <v>216</v>
      </c>
      <c r="E8">
        <v>43</v>
      </c>
      <c r="F8" t="s">
        <v>222</v>
      </c>
      <c r="G8">
        <v>2850</v>
      </c>
      <c r="H8">
        <v>15</v>
      </c>
      <c r="I8">
        <v>3</v>
      </c>
      <c r="J8">
        <v>0</v>
      </c>
      <c r="K8" t="s">
        <v>223</v>
      </c>
    </row>
    <row r="9" spans="1:11" x14ac:dyDescent="0.25">
      <c r="A9">
        <v>8</v>
      </c>
      <c r="B9" t="s">
        <v>18</v>
      </c>
      <c r="C9" t="s">
        <v>213</v>
      </c>
      <c r="D9" t="s">
        <v>216</v>
      </c>
      <c r="E9">
        <v>42</v>
      </c>
      <c r="F9" t="s">
        <v>221</v>
      </c>
      <c r="G9">
        <v>3500</v>
      </c>
      <c r="H9">
        <v>11</v>
      </c>
      <c r="I9">
        <v>2</v>
      </c>
      <c r="J9">
        <v>4</v>
      </c>
      <c r="K9" t="s">
        <v>223</v>
      </c>
    </row>
    <row r="10" spans="1:11" x14ac:dyDescent="0.25">
      <c r="A10">
        <v>9</v>
      </c>
      <c r="B10" t="s">
        <v>19</v>
      </c>
      <c r="C10" t="s">
        <v>214</v>
      </c>
      <c r="D10" t="s">
        <v>217</v>
      </c>
      <c r="E10">
        <v>59</v>
      </c>
      <c r="F10" t="s">
        <v>221</v>
      </c>
      <c r="G10">
        <v>3000</v>
      </c>
      <c r="H10">
        <v>15</v>
      </c>
      <c r="I10">
        <v>1</v>
      </c>
      <c r="J10">
        <v>4</v>
      </c>
      <c r="K10" t="s">
        <v>223</v>
      </c>
    </row>
    <row r="11" spans="1:11" x14ac:dyDescent="0.25">
      <c r="A11">
        <v>10</v>
      </c>
      <c r="B11" t="s">
        <v>20</v>
      </c>
      <c r="C11" t="s">
        <v>215</v>
      </c>
      <c r="D11" t="s">
        <v>219</v>
      </c>
      <c r="E11">
        <v>43</v>
      </c>
      <c r="F11" t="s">
        <v>221</v>
      </c>
      <c r="G11">
        <v>10000</v>
      </c>
      <c r="H11">
        <v>0</v>
      </c>
      <c r="I11">
        <v>2</v>
      </c>
      <c r="J11">
        <v>3</v>
      </c>
      <c r="K11" t="s">
        <v>223</v>
      </c>
    </row>
    <row r="12" spans="1:11" x14ac:dyDescent="0.25">
      <c r="A12">
        <v>11</v>
      </c>
      <c r="B12" t="s">
        <v>21</v>
      </c>
      <c r="C12" t="s">
        <v>213</v>
      </c>
      <c r="D12" t="s">
        <v>220</v>
      </c>
      <c r="E12">
        <v>25</v>
      </c>
      <c r="F12" t="s">
        <v>221</v>
      </c>
      <c r="G12">
        <v>9451</v>
      </c>
      <c r="H12">
        <v>12</v>
      </c>
      <c r="I12">
        <v>3</v>
      </c>
      <c r="J12">
        <v>1</v>
      </c>
      <c r="K12" t="s">
        <v>223</v>
      </c>
    </row>
    <row r="13" spans="1:11" x14ac:dyDescent="0.25">
      <c r="A13">
        <v>12</v>
      </c>
      <c r="B13" t="s">
        <v>22</v>
      </c>
      <c r="C13" t="s">
        <v>211</v>
      </c>
      <c r="D13" t="s">
        <v>217</v>
      </c>
      <c r="E13">
        <v>53</v>
      </c>
      <c r="F13" t="s">
        <v>221</v>
      </c>
      <c r="G13">
        <v>5787</v>
      </c>
      <c r="H13">
        <v>4</v>
      </c>
      <c r="I13">
        <v>5</v>
      </c>
      <c r="J13">
        <v>0</v>
      </c>
      <c r="K13" t="s">
        <v>223</v>
      </c>
    </row>
    <row r="14" spans="1:11" x14ac:dyDescent="0.25">
      <c r="A14">
        <v>13</v>
      </c>
      <c r="B14" t="s">
        <v>23</v>
      </c>
      <c r="C14" t="s">
        <v>211</v>
      </c>
      <c r="D14" t="s">
        <v>219</v>
      </c>
      <c r="E14">
        <v>27</v>
      </c>
      <c r="F14" t="s">
        <v>222</v>
      </c>
      <c r="G14">
        <v>9200</v>
      </c>
      <c r="H14">
        <v>10</v>
      </c>
      <c r="I14">
        <v>5</v>
      </c>
      <c r="J14">
        <v>1</v>
      </c>
      <c r="K14" t="s">
        <v>223</v>
      </c>
    </row>
    <row r="15" spans="1:11" x14ac:dyDescent="0.25">
      <c r="A15">
        <v>14</v>
      </c>
      <c r="B15" t="s">
        <v>24</v>
      </c>
      <c r="C15" t="s">
        <v>214</v>
      </c>
      <c r="D15" t="s">
        <v>217</v>
      </c>
      <c r="E15">
        <v>53</v>
      </c>
      <c r="F15" t="s">
        <v>221</v>
      </c>
      <c r="G15">
        <v>3000</v>
      </c>
      <c r="H15">
        <v>5</v>
      </c>
      <c r="I15">
        <v>1</v>
      </c>
      <c r="J15">
        <v>0</v>
      </c>
      <c r="K15" t="s">
        <v>223</v>
      </c>
    </row>
    <row r="16" spans="1:11" x14ac:dyDescent="0.25">
      <c r="A16">
        <v>15</v>
      </c>
      <c r="B16" t="s">
        <v>25</v>
      </c>
      <c r="C16" t="s">
        <v>210</v>
      </c>
      <c r="D16" t="s">
        <v>217</v>
      </c>
      <c r="E16">
        <v>37</v>
      </c>
      <c r="F16" t="s">
        <v>221</v>
      </c>
      <c r="G16">
        <v>6200</v>
      </c>
      <c r="H16">
        <v>8</v>
      </c>
      <c r="I16">
        <v>5</v>
      </c>
      <c r="J16">
        <v>1</v>
      </c>
      <c r="K16" t="s">
        <v>223</v>
      </c>
    </row>
    <row r="17" spans="1:11" x14ac:dyDescent="0.25">
      <c r="A17">
        <v>16</v>
      </c>
      <c r="B17" t="s">
        <v>26</v>
      </c>
      <c r="C17" t="s">
        <v>211</v>
      </c>
      <c r="D17" t="s">
        <v>220</v>
      </c>
      <c r="E17">
        <v>25</v>
      </c>
      <c r="F17" t="s">
        <v>222</v>
      </c>
      <c r="G17">
        <v>4567</v>
      </c>
      <c r="H17">
        <v>10</v>
      </c>
      <c r="I17">
        <v>2</v>
      </c>
      <c r="J17">
        <v>0</v>
      </c>
      <c r="K17" t="s">
        <v>223</v>
      </c>
    </row>
    <row r="18" spans="1:11" x14ac:dyDescent="0.25">
      <c r="A18">
        <v>17</v>
      </c>
      <c r="B18" t="s">
        <v>27</v>
      </c>
      <c r="C18" t="s">
        <v>211</v>
      </c>
      <c r="D18" t="s">
        <v>219</v>
      </c>
      <c r="E18">
        <v>22</v>
      </c>
      <c r="F18" t="s">
        <v>221</v>
      </c>
      <c r="G18">
        <v>8522</v>
      </c>
      <c r="H18">
        <v>2</v>
      </c>
      <c r="I18">
        <v>2</v>
      </c>
      <c r="J18">
        <v>1</v>
      </c>
      <c r="K18" t="s">
        <v>223</v>
      </c>
    </row>
    <row r="19" spans="1:11" x14ac:dyDescent="0.25">
      <c r="A19">
        <v>18</v>
      </c>
      <c r="B19" t="s">
        <v>28</v>
      </c>
      <c r="C19" t="s">
        <v>215</v>
      </c>
      <c r="D19" t="s">
        <v>220</v>
      </c>
      <c r="E19">
        <v>49</v>
      </c>
      <c r="F19" t="s">
        <v>222</v>
      </c>
      <c r="G19">
        <v>9297</v>
      </c>
      <c r="H19">
        <v>15</v>
      </c>
      <c r="I19">
        <v>5</v>
      </c>
      <c r="J19">
        <v>5</v>
      </c>
      <c r="K19" t="s">
        <v>223</v>
      </c>
    </row>
    <row r="20" spans="1:11" x14ac:dyDescent="0.25">
      <c r="A20">
        <v>19</v>
      </c>
      <c r="B20" t="s">
        <v>29</v>
      </c>
      <c r="C20" t="s">
        <v>213</v>
      </c>
      <c r="D20" t="s">
        <v>216</v>
      </c>
      <c r="E20">
        <v>28</v>
      </c>
      <c r="F20" t="s">
        <v>222</v>
      </c>
      <c r="G20">
        <v>3500</v>
      </c>
      <c r="H20">
        <v>11</v>
      </c>
      <c r="I20">
        <v>2</v>
      </c>
      <c r="J20">
        <v>1</v>
      </c>
      <c r="K20" t="s">
        <v>223</v>
      </c>
    </row>
    <row r="21" spans="1:11" x14ac:dyDescent="0.25">
      <c r="A21">
        <v>20</v>
      </c>
      <c r="B21" t="s">
        <v>30</v>
      </c>
      <c r="C21" t="s">
        <v>215</v>
      </c>
      <c r="D21" t="s">
        <v>220</v>
      </c>
      <c r="E21">
        <v>33</v>
      </c>
      <c r="F21" t="s">
        <v>222</v>
      </c>
      <c r="G21">
        <v>5403</v>
      </c>
      <c r="H21">
        <v>10</v>
      </c>
      <c r="I21">
        <v>4</v>
      </c>
      <c r="J21">
        <v>1</v>
      </c>
      <c r="K21" t="s">
        <v>223</v>
      </c>
    </row>
    <row r="22" spans="1:11" x14ac:dyDescent="0.25">
      <c r="A22">
        <v>21</v>
      </c>
      <c r="B22" t="s">
        <v>31</v>
      </c>
      <c r="C22" t="s">
        <v>214</v>
      </c>
      <c r="D22" t="s">
        <v>216</v>
      </c>
      <c r="E22">
        <v>31</v>
      </c>
      <c r="F22" t="s">
        <v>222</v>
      </c>
      <c r="G22">
        <v>2000</v>
      </c>
      <c r="H22">
        <v>16</v>
      </c>
      <c r="I22">
        <v>5</v>
      </c>
      <c r="J22">
        <v>5</v>
      </c>
      <c r="K22" t="s">
        <v>223</v>
      </c>
    </row>
    <row r="23" spans="1:11" x14ac:dyDescent="0.25">
      <c r="A23">
        <v>22</v>
      </c>
      <c r="B23" t="s">
        <v>32</v>
      </c>
      <c r="C23" t="s">
        <v>210</v>
      </c>
      <c r="D23" t="s">
        <v>217</v>
      </c>
      <c r="E23">
        <v>48</v>
      </c>
      <c r="F23" t="s">
        <v>221</v>
      </c>
      <c r="G23">
        <v>6322</v>
      </c>
      <c r="H23">
        <v>14</v>
      </c>
      <c r="I23">
        <v>1</v>
      </c>
      <c r="J23">
        <v>2</v>
      </c>
      <c r="K23" t="s">
        <v>223</v>
      </c>
    </row>
    <row r="24" spans="1:11" x14ac:dyDescent="0.25">
      <c r="A24">
        <v>23</v>
      </c>
      <c r="B24" t="s">
        <v>33</v>
      </c>
      <c r="C24" t="s">
        <v>215</v>
      </c>
      <c r="D24" t="s">
        <v>216</v>
      </c>
      <c r="E24">
        <v>29</v>
      </c>
      <c r="F24" t="s">
        <v>221</v>
      </c>
      <c r="G24">
        <v>3000</v>
      </c>
      <c r="H24">
        <v>5</v>
      </c>
      <c r="I24">
        <v>1</v>
      </c>
      <c r="J24">
        <v>5</v>
      </c>
      <c r="K24" t="s">
        <v>223</v>
      </c>
    </row>
    <row r="25" spans="1:11" x14ac:dyDescent="0.25">
      <c r="A25">
        <v>24</v>
      </c>
      <c r="B25" t="s">
        <v>34</v>
      </c>
      <c r="C25" t="s">
        <v>210</v>
      </c>
      <c r="D25" t="s">
        <v>216</v>
      </c>
      <c r="E25">
        <v>33</v>
      </c>
      <c r="F25" t="s">
        <v>222</v>
      </c>
      <c r="G25">
        <v>4500</v>
      </c>
      <c r="H25">
        <v>15</v>
      </c>
      <c r="I25">
        <v>1</v>
      </c>
      <c r="J25">
        <v>0</v>
      </c>
      <c r="K25" t="s">
        <v>223</v>
      </c>
    </row>
    <row r="26" spans="1:11" x14ac:dyDescent="0.25">
      <c r="A26">
        <v>25</v>
      </c>
      <c r="B26" t="s">
        <v>35</v>
      </c>
      <c r="C26" t="s">
        <v>215</v>
      </c>
      <c r="D26" t="s">
        <v>216</v>
      </c>
      <c r="E26">
        <v>48</v>
      </c>
      <c r="F26" t="s">
        <v>221</v>
      </c>
      <c r="G26">
        <v>4000</v>
      </c>
      <c r="H26">
        <v>20</v>
      </c>
      <c r="I26">
        <v>3</v>
      </c>
      <c r="J26">
        <v>5</v>
      </c>
      <c r="K26" t="s">
        <v>223</v>
      </c>
    </row>
    <row r="27" spans="1:11" x14ac:dyDescent="0.25">
      <c r="A27">
        <v>26</v>
      </c>
      <c r="B27" t="s">
        <v>36</v>
      </c>
      <c r="C27" t="s">
        <v>215</v>
      </c>
      <c r="D27" t="s">
        <v>216</v>
      </c>
      <c r="E27">
        <v>23</v>
      </c>
      <c r="F27" t="s">
        <v>221</v>
      </c>
      <c r="G27">
        <v>4200</v>
      </c>
      <c r="H27">
        <v>1</v>
      </c>
      <c r="I27">
        <v>5</v>
      </c>
      <c r="J27">
        <v>2</v>
      </c>
      <c r="K27" t="s">
        <v>223</v>
      </c>
    </row>
    <row r="28" spans="1:11" x14ac:dyDescent="0.25">
      <c r="A28">
        <v>27</v>
      </c>
      <c r="B28" t="s">
        <v>37</v>
      </c>
      <c r="C28" t="s">
        <v>215</v>
      </c>
      <c r="D28" t="s">
        <v>218</v>
      </c>
      <c r="E28">
        <v>27</v>
      </c>
      <c r="F28" t="s">
        <v>222</v>
      </c>
      <c r="G28">
        <v>4306</v>
      </c>
      <c r="H28">
        <v>16</v>
      </c>
      <c r="I28">
        <v>2</v>
      </c>
      <c r="J28">
        <v>1</v>
      </c>
      <c r="K28" t="s">
        <v>223</v>
      </c>
    </row>
    <row r="29" spans="1:11" x14ac:dyDescent="0.25">
      <c r="A29">
        <v>28</v>
      </c>
      <c r="B29" t="s">
        <v>38</v>
      </c>
      <c r="C29" t="s">
        <v>210</v>
      </c>
      <c r="D29" t="s">
        <v>217</v>
      </c>
      <c r="E29">
        <v>33</v>
      </c>
      <c r="F29" t="s">
        <v>221</v>
      </c>
      <c r="G29">
        <v>5222</v>
      </c>
      <c r="H29">
        <v>4</v>
      </c>
      <c r="I29">
        <v>2</v>
      </c>
      <c r="J29">
        <v>1</v>
      </c>
      <c r="K29" t="s">
        <v>223</v>
      </c>
    </row>
    <row r="30" spans="1:11" x14ac:dyDescent="0.25">
      <c r="A30">
        <v>29</v>
      </c>
      <c r="B30" t="s">
        <v>39</v>
      </c>
      <c r="C30" t="s">
        <v>215</v>
      </c>
      <c r="D30" t="s">
        <v>216</v>
      </c>
      <c r="E30">
        <v>31</v>
      </c>
      <c r="F30" t="s">
        <v>221</v>
      </c>
      <c r="G30">
        <v>3800</v>
      </c>
      <c r="H30">
        <v>8</v>
      </c>
      <c r="I30">
        <v>5</v>
      </c>
      <c r="J30">
        <v>2</v>
      </c>
      <c r="K30" t="s">
        <v>223</v>
      </c>
    </row>
    <row r="31" spans="1:11" x14ac:dyDescent="0.25">
      <c r="A31">
        <v>30</v>
      </c>
      <c r="B31" t="s">
        <v>40</v>
      </c>
      <c r="C31" t="s">
        <v>213</v>
      </c>
      <c r="D31" t="s">
        <v>220</v>
      </c>
      <c r="E31">
        <v>44</v>
      </c>
      <c r="F31" t="s">
        <v>222</v>
      </c>
      <c r="G31">
        <v>5200</v>
      </c>
      <c r="H31">
        <v>5</v>
      </c>
      <c r="I31">
        <v>1</v>
      </c>
      <c r="J31">
        <v>2</v>
      </c>
      <c r="K31" t="s">
        <v>223</v>
      </c>
    </row>
    <row r="32" spans="1:11" x14ac:dyDescent="0.25">
      <c r="A32">
        <v>31</v>
      </c>
      <c r="B32" t="s">
        <v>41</v>
      </c>
      <c r="C32" t="s">
        <v>211</v>
      </c>
      <c r="D32" t="s">
        <v>219</v>
      </c>
      <c r="E32">
        <v>43</v>
      </c>
      <c r="F32" t="s">
        <v>221</v>
      </c>
      <c r="G32">
        <v>7998</v>
      </c>
      <c r="H32">
        <v>4</v>
      </c>
      <c r="I32">
        <v>3</v>
      </c>
      <c r="J32">
        <v>1</v>
      </c>
      <c r="K32" t="s">
        <v>223</v>
      </c>
    </row>
    <row r="33" spans="1:11" x14ac:dyDescent="0.25">
      <c r="A33">
        <v>32</v>
      </c>
      <c r="B33" t="s">
        <v>42</v>
      </c>
      <c r="C33" t="s">
        <v>210</v>
      </c>
      <c r="D33" t="s">
        <v>219</v>
      </c>
      <c r="E33">
        <v>22</v>
      </c>
      <c r="F33" t="s">
        <v>222</v>
      </c>
      <c r="G33">
        <v>12500</v>
      </c>
      <c r="H33">
        <v>8</v>
      </c>
      <c r="I33">
        <v>5</v>
      </c>
      <c r="J33">
        <v>1</v>
      </c>
      <c r="K33" t="s">
        <v>223</v>
      </c>
    </row>
    <row r="34" spans="1:11" x14ac:dyDescent="0.25">
      <c r="A34">
        <v>33</v>
      </c>
      <c r="B34" t="s">
        <v>43</v>
      </c>
      <c r="C34" t="s">
        <v>212</v>
      </c>
      <c r="D34" t="s">
        <v>218</v>
      </c>
      <c r="E34">
        <v>56</v>
      </c>
      <c r="F34" t="s">
        <v>221</v>
      </c>
      <c r="G34">
        <v>8985</v>
      </c>
      <c r="H34">
        <v>8</v>
      </c>
      <c r="I34">
        <v>4</v>
      </c>
      <c r="J34">
        <v>4</v>
      </c>
      <c r="K34" t="s">
        <v>223</v>
      </c>
    </row>
    <row r="35" spans="1:11" x14ac:dyDescent="0.25">
      <c r="A35">
        <v>34</v>
      </c>
      <c r="B35" t="s">
        <v>44</v>
      </c>
      <c r="C35" t="s">
        <v>214</v>
      </c>
      <c r="D35" t="s">
        <v>216</v>
      </c>
      <c r="E35">
        <v>29</v>
      </c>
      <c r="F35" t="s">
        <v>222</v>
      </c>
      <c r="G35">
        <v>2300</v>
      </c>
      <c r="H35">
        <v>5</v>
      </c>
      <c r="I35">
        <v>2</v>
      </c>
      <c r="J35">
        <v>4</v>
      </c>
      <c r="K35" t="s">
        <v>223</v>
      </c>
    </row>
    <row r="36" spans="1:11" x14ac:dyDescent="0.25">
      <c r="A36">
        <v>35</v>
      </c>
      <c r="B36" t="s">
        <v>45</v>
      </c>
      <c r="C36" t="s">
        <v>215</v>
      </c>
      <c r="D36" t="s">
        <v>218</v>
      </c>
      <c r="E36">
        <v>44</v>
      </c>
      <c r="F36" t="s">
        <v>222</v>
      </c>
      <c r="G36">
        <v>5197</v>
      </c>
      <c r="H36">
        <v>18</v>
      </c>
      <c r="I36">
        <v>3</v>
      </c>
      <c r="J36">
        <v>3</v>
      </c>
      <c r="K36" t="s">
        <v>223</v>
      </c>
    </row>
    <row r="37" spans="1:11" x14ac:dyDescent="0.25">
      <c r="A37">
        <v>36</v>
      </c>
      <c r="B37" t="s">
        <v>46</v>
      </c>
      <c r="C37" t="s">
        <v>213</v>
      </c>
      <c r="D37" t="s">
        <v>220</v>
      </c>
      <c r="E37">
        <v>35</v>
      </c>
      <c r="F37" t="s">
        <v>222</v>
      </c>
      <c r="G37">
        <v>5529</v>
      </c>
      <c r="H37">
        <v>14</v>
      </c>
      <c r="I37">
        <v>5</v>
      </c>
      <c r="J37">
        <v>3</v>
      </c>
      <c r="K37" t="s">
        <v>223</v>
      </c>
    </row>
    <row r="38" spans="1:11" x14ac:dyDescent="0.25">
      <c r="A38">
        <v>37</v>
      </c>
      <c r="B38" t="s">
        <v>47</v>
      </c>
      <c r="C38" t="s">
        <v>211</v>
      </c>
      <c r="D38" t="s">
        <v>216</v>
      </c>
      <c r="E38">
        <v>29</v>
      </c>
      <c r="F38" t="s">
        <v>222</v>
      </c>
      <c r="G38">
        <v>3200</v>
      </c>
      <c r="H38">
        <v>0</v>
      </c>
      <c r="I38">
        <v>2</v>
      </c>
      <c r="J38">
        <v>3</v>
      </c>
      <c r="K38" t="s">
        <v>223</v>
      </c>
    </row>
    <row r="39" spans="1:11" x14ac:dyDescent="0.25">
      <c r="A39">
        <v>38</v>
      </c>
      <c r="B39" t="s">
        <v>48</v>
      </c>
      <c r="C39" t="s">
        <v>213</v>
      </c>
      <c r="D39" t="s">
        <v>217</v>
      </c>
      <c r="E39">
        <v>45</v>
      </c>
      <c r="F39" t="s">
        <v>221</v>
      </c>
      <c r="G39">
        <v>5500</v>
      </c>
      <c r="H39">
        <v>10</v>
      </c>
      <c r="I39">
        <v>2</v>
      </c>
      <c r="J39">
        <v>2</v>
      </c>
      <c r="K39" t="s">
        <v>223</v>
      </c>
    </row>
    <row r="40" spans="1:11" x14ac:dyDescent="0.25">
      <c r="A40">
        <v>39</v>
      </c>
      <c r="B40" t="s">
        <v>49</v>
      </c>
      <c r="C40" t="s">
        <v>211</v>
      </c>
      <c r="D40" t="s">
        <v>220</v>
      </c>
      <c r="E40">
        <v>28</v>
      </c>
      <c r="F40" t="s">
        <v>221</v>
      </c>
      <c r="G40">
        <v>7540</v>
      </c>
      <c r="H40">
        <v>6</v>
      </c>
      <c r="I40">
        <v>3</v>
      </c>
      <c r="J40">
        <v>3</v>
      </c>
      <c r="K40" t="s">
        <v>223</v>
      </c>
    </row>
    <row r="41" spans="1:11" x14ac:dyDescent="0.25">
      <c r="A41">
        <v>40</v>
      </c>
      <c r="B41" t="s">
        <v>50</v>
      </c>
      <c r="C41" t="s">
        <v>214</v>
      </c>
      <c r="D41" t="s">
        <v>217</v>
      </c>
      <c r="E41">
        <v>39</v>
      </c>
      <c r="F41" t="s">
        <v>221</v>
      </c>
      <c r="G41">
        <v>2900</v>
      </c>
      <c r="H41">
        <v>14</v>
      </c>
      <c r="I41">
        <v>2</v>
      </c>
      <c r="J41">
        <v>2</v>
      </c>
      <c r="K41" t="s">
        <v>223</v>
      </c>
    </row>
    <row r="42" spans="1:11" x14ac:dyDescent="0.25">
      <c r="A42">
        <v>41</v>
      </c>
      <c r="B42" t="s">
        <v>51</v>
      </c>
      <c r="C42" t="s">
        <v>210</v>
      </c>
      <c r="D42" t="s">
        <v>220</v>
      </c>
      <c r="E42">
        <v>40</v>
      </c>
      <c r="F42" t="s">
        <v>221</v>
      </c>
      <c r="G42">
        <v>7048</v>
      </c>
      <c r="H42">
        <v>3</v>
      </c>
      <c r="I42">
        <v>5</v>
      </c>
      <c r="J42">
        <v>2</v>
      </c>
      <c r="K42" t="s">
        <v>223</v>
      </c>
    </row>
    <row r="43" spans="1:11" x14ac:dyDescent="0.25">
      <c r="A43">
        <v>42</v>
      </c>
      <c r="B43" t="s">
        <v>52</v>
      </c>
      <c r="C43" t="s">
        <v>210</v>
      </c>
      <c r="D43" t="s">
        <v>219</v>
      </c>
      <c r="E43">
        <v>53</v>
      </c>
      <c r="F43" t="s">
        <v>222</v>
      </c>
      <c r="G43">
        <v>10000</v>
      </c>
      <c r="H43">
        <v>5</v>
      </c>
      <c r="I43">
        <v>1</v>
      </c>
      <c r="J43">
        <v>4</v>
      </c>
      <c r="K43" t="s">
        <v>223</v>
      </c>
    </row>
    <row r="44" spans="1:11" x14ac:dyDescent="0.25">
      <c r="A44">
        <v>43</v>
      </c>
      <c r="B44" t="s">
        <v>53</v>
      </c>
      <c r="C44" t="s">
        <v>215</v>
      </c>
      <c r="D44" t="s">
        <v>217</v>
      </c>
      <c r="E44">
        <v>24</v>
      </c>
      <c r="F44" t="s">
        <v>221</v>
      </c>
      <c r="G44">
        <v>5000</v>
      </c>
      <c r="H44">
        <v>16</v>
      </c>
      <c r="I44">
        <v>4</v>
      </c>
      <c r="J44">
        <v>0</v>
      </c>
      <c r="K44" t="s">
        <v>223</v>
      </c>
    </row>
    <row r="45" spans="1:11" x14ac:dyDescent="0.25">
      <c r="A45">
        <v>44</v>
      </c>
      <c r="B45" t="s">
        <v>54</v>
      </c>
      <c r="C45" t="s">
        <v>211</v>
      </c>
      <c r="D45" t="s">
        <v>217</v>
      </c>
      <c r="E45">
        <v>36</v>
      </c>
      <c r="F45" t="s">
        <v>221</v>
      </c>
      <c r="G45">
        <v>4000</v>
      </c>
      <c r="H45">
        <v>3</v>
      </c>
      <c r="I45">
        <v>4</v>
      </c>
      <c r="J45">
        <v>3</v>
      </c>
      <c r="K45" t="s">
        <v>223</v>
      </c>
    </row>
    <row r="46" spans="1:11" x14ac:dyDescent="0.25">
      <c r="A46">
        <v>45</v>
      </c>
      <c r="B46" t="s">
        <v>55</v>
      </c>
      <c r="C46" t="s">
        <v>211</v>
      </c>
      <c r="D46" t="s">
        <v>219</v>
      </c>
      <c r="E46">
        <v>45</v>
      </c>
      <c r="F46" t="s">
        <v>221</v>
      </c>
      <c r="G46">
        <v>8317</v>
      </c>
      <c r="H46">
        <v>2</v>
      </c>
      <c r="I46">
        <v>3</v>
      </c>
      <c r="J46">
        <v>1</v>
      </c>
      <c r="K46" t="s">
        <v>223</v>
      </c>
    </row>
    <row r="47" spans="1:11" x14ac:dyDescent="0.25">
      <c r="A47">
        <v>46</v>
      </c>
      <c r="B47" t="s">
        <v>56</v>
      </c>
      <c r="C47" t="s">
        <v>213</v>
      </c>
      <c r="D47" t="s">
        <v>216</v>
      </c>
      <c r="E47">
        <v>54</v>
      </c>
      <c r="F47" t="s">
        <v>221</v>
      </c>
      <c r="G47">
        <v>3500</v>
      </c>
      <c r="H47">
        <v>12</v>
      </c>
      <c r="I47">
        <v>3</v>
      </c>
      <c r="J47">
        <v>4</v>
      </c>
      <c r="K47" t="s">
        <v>223</v>
      </c>
    </row>
    <row r="48" spans="1:11" x14ac:dyDescent="0.25">
      <c r="A48">
        <v>47</v>
      </c>
      <c r="B48" t="s">
        <v>57</v>
      </c>
      <c r="C48" t="s">
        <v>210</v>
      </c>
      <c r="D48" t="s">
        <v>218</v>
      </c>
      <c r="E48">
        <v>25</v>
      </c>
      <c r="F48" t="s">
        <v>221</v>
      </c>
      <c r="G48">
        <v>5764</v>
      </c>
      <c r="H48">
        <v>14</v>
      </c>
      <c r="I48">
        <v>4</v>
      </c>
      <c r="J48">
        <v>4</v>
      </c>
      <c r="K48" t="s">
        <v>223</v>
      </c>
    </row>
    <row r="49" spans="1:11" x14ac:dyDescent="0.25">
      <c r="A49">
        <v>48</v>
      </c>
      <c r="B49" t="s">
        <v>58</v>
      </c>
      <c r="C49" t="s">
        <v>212</v>
      </c>
      <c r="D49" t="s">
        <v>216</v>
      </c>
      <c r="E49">
        <v>39</v>
      </c>
      <c r="F49" t="s">
        <v>221</v>
      </c>
      <c r="G49">
        <v>1800</v>
      </c>
      <c r="H49">
        <v>18</v>
      </c>
      <c r="I49">
        <v>2</v>
      </c>
      <c r="J49">
        <v>5</v>
      </c>
      <c r="K49" t="s">
        <v>223</v>
      </c>
    </row>
    <row r="50" spans="1:11" x14ac:dyDescent="0.25">
      <c r="A50">
        <v>49</v>
      </c>
      <c r="B50" t="s">
        <v>59</v>
      </c>
      <c r="C50" t="s">
        <v>214</v>
      </c>
      <c r="D50" t="s">
        <v>219</v>
      </c>
      <c r="E50">
        <v>23</v>
      </c>
      <c r="F50" t="s">
        <v>222</v>
      </c>
      <c r="G50">
        <v>10870</v>
      </c>
      <c r="H50">
        <v>5</v>
      </c>
      <c r="I50">
        <v>4</v>
      </c>
      <c r="J50">
        <v>4</v>
      </c>
      <c r="K50" t="s">
        <v>223</v>
      </c>
    </row>
    <row r="51" spans="1:11" x14ac:dyDescent="0.25">
      <c r="A51">
        <v>50</v>
      </c>
      <c r="B51" t="s">
        <v>60</v>
      </c>
      <c r="C51" t="s">
        <v>213</v>
      </c>
      <c r="D51" t="s">
        <v>220</v>
      </c>
      <c r="E51">
        <v>38</v>
      </c>
      <c r="F51" t="s">
        <v>222</v>
      </c>
      <c r="G51">
        <v>8324</v>
      </c>
      <c r="H51">
        <v>8</v>
      </c>
      <c r="I51">
        <v>1</v>
      </c>
      <c r="J51">
        <v>0</v>
      </c>
      <c r="K51" t="s">
        <v>223</v>
      </c>
    </row>
    <row r="52" spans="1:11" x14ac:dyDescent="0.25">
      <c r="A52">
        <v>51</v>
      </c>
      <c r="B52" t="s">
        <v>61</v>
      </c>
      <c r="C52" t="s">
        <v>212</v>
      </c>
      <c r="D52" t="s">
        <v>220</v>
      </c>
      <c r="E52">
        <v>47</v>
      </c>
      <c r="F52" t="s">
        <v>221</v>
      </c>
      <c r="G52">
        <v>5200</v>
      </c>
      <c r="H52">
        <v>7</v>
      </c>
      <c r="I52">
        <v>5</v>
      </c>
      <c r="J52">
        <v>4</v>
      </c>
      <c r="K52" t="s">
        <v>223</v>
      </c>
    </row>
    <row r="53" spans="1:11" x14ac:dyDescent="0.25">
      <c r="A53">
        <v>52</v>
      </c>
      <c r="B53" t="s">
        <v>62</v>
      </c>
      <c r="C53" t="s">
        <v>213</v>
      </c>
      <c r="D53" t="s">
        <v>217</v>
      </c>
      <c r="E53">
        <v>44</v>
      </c>
      <c r="F53" t="s">
        <v>221</v>
      </c>
      <c r="G53">
        <v>3599</v>
      </c>
      <c r="H53">
        <v>15</v>
      </c>
      <c r="I53">
        <v>3</v>
      </c>
      <c r="J53">
        <v>5</v>
      </c>
      <c r="K53" t="s">
        <v>223</v>
      </c>
    </row>
    <row r="54" spans="1:11" x14ac:dyDescent="0.25">
      <c r="A54">
        <v>53</v>
      </c>
      <c r="B54" t="s">
        <v>63</v>
      </c>
      <c r="C54" t="s">
        <v>211</v>
      </c>
      <c r="D54" t="s">
        <v>220</v>
      </c>
      <c r="E54">
        <v>52</v>
      </c>
      <c r="F54" t="s">
        <v>221</v>
      </c>
      <c r="G54">
        <v>8506</v>
      </c>
      <c r="H54">
        <v>16</v>
      </c>
      <c r="I54">
        <v>1</v>
      </c>
      <c r="J54">
        <v>0</v>
      </c>
      <c r="K54" t="s">
        <v>223</v>
      </c>
    </row>
    <row r="55" spans="1:11" x14ac:dyDescent="0.25">
      <c r="A55">
        <v>54</v>
      </c>
      <c r="B55" t="s">
        <v>64</v>
      </c>
      <c r="C55" t="s">
        <v>210</v>
      </c>
      <c r="D55" t="s">
        <v>216</v>
      </c>
      <c r="E55">
        <v>27</v>
      </c>
      <c r="F55" t="s">
        <v>221</v>
      </c>
      <c r="G55">
        <v>4500</v>
      </c>
      <c r="H55">
        <v>3</v>
      </c>
      <c r="I55">
        <v>3</v>
      </c>
      <c r="J55">
        <v>1</v>
      </c>
      <c r="K55" t="s">
        <v>223</v>
      </c>
    </row>
    <row r="56" spans="1:11" x14ac:dyDescent="0.25">
      <c r="A56">
        <v>55</v>
      </c>
      <c r="B56" t="s">
        <v>65</v>
      </c>
      <c r="C56" t="s">
        <v>210</v>
      </c>
      <c r="D56" t="s">
        <v>219</v>
      </c>
      <c r="E56">
        <v>41</v>
      </c>
      <c r="F56" t="s">
        <v>222</v>
      </c>
      <c r="G56">
        <v>16000</v>
      </c>
      <c r="H56">
        <v>20</v>
      </c>
      <c r="I56">
        <v>5</v>
      </c>
      <c r="J56">
        <v>2</v>
      </c>
      <c r="K56" t="s">
        <v>223</v>
      </c>
    </row>
    <row r="57" spans="1:11" x14ac:dyDescent="0.25">
      <c r="A57">
        <v>56</v>
      </c>
      <c r="B57" t="s">
        <v>66</v>
      </c>
      <c r="C57" t="s">
        <v>210</v>
      </c>
      <c r="D57" t="s">
        <v>220</v>
      </c>
      <c r="E57">
        <v>35</v>
      </c>
      <c r="F57" t="s">
        <v>221</v>
      </c>
      <c r="G57">
        <v>7000</v>
      </c>
      <c r="H57">
        <v>3</v>
      </c>
      <c r="I57">
        <v>1</v>
      </c>
      <c r="J57">
        <v>1</v>
      </c>
      <c r="K57" t="s">
        <v>223</v>
      </c>
    </row>
    <row r="58" spans="1:11" x14ac:dyDescent="0.25">
      <c r="A58">
        <v>57</v>
      </c>
      <c r="B58" t="s">
        <v>67</v>
      </c>
      <c r="C58" t="s">
        <v>215</v>
      </c>
      <c r="D58" t="s">
        <v>219</v>
      </c>
      <c r="E58">
        <v>44</v>
      </c>
      <c r="F58" t="s">
        <v>221</v>
      </c>
      <c r="G58">
        <v>11392</v>
      </c>
      <c r="H58">
        <v>11</v>
      </c>
      <c r="I58">
        <v>1</v>
      </c>
      <c r="J58">
        <v>5</v>
      </c>
      <c r="K58" t="s">
        <v>223</v>
      </c>
    </row>
    <row r="59" spans="1:11" x14ac:dyDescent="0.25">
      <c r="A59">
        <v>58</v>
      </c>
      <c r="B59" t="s">
        <v>68</v>
      </c>
      <c r="C59" t="s">
        <v>210</v>
      </c>
      <c r="D59" t="s">
        <v>217</v>
      </c>
      <c r="E59">
        <v>28</v>
      </c>
      <c r="F59" t="s">
        <v>222</v>
      </c>
      <c r="G59">
        <v>5809</v>
      </c>
      <c r="H59">
        <v>2</v>
      </c>
      <c r="I59">
        <v>4</v>
      </c>
      <c r="J59">
        <v>0</v>
      </c>
      <c r="K59" t="s">
        <v>223</v>
      </c>
    </row>
    <row r="60" spans="1:11" x14ac:dyDescent="0.25">
      <c r="A60">
        <v>59</v>
      </c>
      <c r="B60" t="s">
        <v>69</v>
      </c>
      <c r="C60" t="s">
        <v>215</v>
      </c>
      <c r="D60" t="s">
        <v>220</v>
      </c>
      <c r="E60">
        <v>31</v>
      </c>
      <c r="F60" t="s">
        <v>222</v>
      </c>
      <c r="G60">
        <v>4634</v>
      </c>
      <c r="H60">
        <v>15</v>
      </c>
      <c r="I60">
        <v>2</v>
      </c>
      <c r="J60">
        <v>2</v>
      </c>
      <c r="K60" t="s">
        <v>223</v>
      </c>
    </row>
    <row r="61" spans="1:11" x14ac:dyDescent="0.25">
      <c r="A61">
        <v>60</v>
      </c>
      <c r="B61" t="s">
        <v>70</v>
      </c>
      <c r="C61" t="s">
        <v>213</v>
      </c>
      <c r="D61" t="s">
        <v>219</v>
      </c>
      <c r="E61">
        <v>34</v>
      </c>
      <c r="F61" t="s">
        <v>221</v>
      </c>
      <c r="G61">
        <v>12600</v>
      </c>
      <c r="H61">
        <v>7</v>
      </c>
      <c r="I61">
        <v>3</v>
      </c>
      <c r="J61">
        <v>0</v>
      </c>
      <c r="K61" t="s">
        <v>223</v>
      </c>
    </row>
    <row r="62" spans="1:11" x14ac:dyDescent="0.25">
      <c r="A62">
        <v>61</v>
      </c>
      <c r="B62" t="s">
        <v>29</v>
      </c>
      <c r="C62" t="s">
        <v>213</v>
      </c>
      <c r="D62" t="s">
        <v>219</v>
      </c>
      <c r="E62">
        <v>41</v>
      </c>
      <c r="F62" t="s">
        <v>222</v>
      </c>
      <c r="G62">
        <v>11197</v>
      </c>
      <c r="H62">
        <v>12</v>
      </c>
      <c r="I62">
        <v>4</v>
      </c>
      <c r="J62">
        <v>0</v>
      </c>
      <c r="K62" t="s">
        <v>224</v>
      </c>
    </row>
    <row r="63" spans="1:11" x14ac:dyDescent="0.25">
      <c r="A63">
        <v>62</v>
      </c>
      <c r="B63" t="s">
        <v>71</v>
      </c>
      <c r="C63" t="s">
        <v>210</v>
      </c>
      <c r="D63" t="s">
        <v>216</v>
      </c>
      <c r="E63">
        <v>39</v>
      </c>
      <c r="F63" t="s">
        <v>222</v>
      </c>
      <c r="G63">
        <v>4000</v>
      </c>
      <c r="H63">
        <v>4</v>
      </c>
      <c r="I63">
        <v>1</v>
      </c>
      <c r="J63">
        <v>5</v>
      </c>
      <c r="K63" t="s">
        <v>224</v>
      </c>
    </row>
    <row r="64" spans="1:11" x14ac:dyDescent="0.25">
      <c r="A64">
        <v>63</v>
      </c>
      <c r="B64" t="s">
        <v>72</v>
      </c>
      <c r="C64" t="s">
        <v>211</v>
      </c>
      <c r="D64" t="s">
        <v>216</v>
      </c>
      <c r="E64">
        <v>28</v>
      </c>
      <c r="F64" t="s">
        <v>221</v>
      </c>
      <c r="G64">
        <v>3000</v>
      </c>
      <c r="H64">
        <v>6</v>
      </c>
      <c r="I64">
        <v>1</v>
      </c>
      <c r="J64">
        <v>1</v>
      </c>
      <c r="K64" t="s">
        <v>223</v>
      </c>
    </row>
    <row r="65" spans="1:11" x14ac:dyDescent="0.25">
      <c r="A65">
        <v>64</v>
      </c>
      <c r="B65" t="s">
        <v>73</v>
      </c>
      <c r="C65" t="s">
        <v>215</v>
      </c>
      <c r="D65" t="s">
        <v>216</v>
      </c>
      <c r="E65">
        <v>39</v>
      </c>
      <c r="F65" t="s">
        <v>221</v>
      </c>
      <c r="G65">
        <v>4337</v>
      </c>
      <c r="H65">
        <v>17</v>
      </c>
      <c r="I65">
        <v>3</v>
      </c>
      <c r="J65">
        <v>1</v>
      </c>
      <c r="K65" t="s">
        <v>224</v>
      </c>
    </row>
    <row r="66" spans="1:11" x14ac:dyDescent="0.25">
      <c r="A66">
        <v>65</v>
      </c>
      <c r="B66" t="s">
        <v>74</v>
      </c>
      <c r="C66" t="s">
        <v>210</v>
      </c>
      <c r="D66" t="s">
        <v>217</v>
      </c>
      <c r="E66">
        <v>28</v>
      </c>
      <c r="F66" t="s">
        <v>222</v>
      </c>
      <c r="G66">
        <v>5000</v>
      </c>
      <c r="H66">
        <v>10</v>
      </c>
      <c r="I66">
        <v>5</v>
      </c>
      <c r="J66">
        <v>0</v>
      </c>
      <c r="K66" t="s">
        <v>223</v>
      </c>
    </row>
    <row r="67" spans="1:11" x14ac:dyDescent="0.25">
      <c r="A67">
        <v>66</v>
      </c>
      <c r="B67" t="s">
        <v>75</v>
      </c>
      <c r="C67" t="s">
        <v>211</v>
      </c>
      <c r="D67" t="s">
        <v>216</v>
      </c>
      <c r="E67">
        <v>60</v>
      </c>
      <c r="F67" t="s">
        <v>221</v>
      </c>
      <c r="G67">
        <v>4000</v>
      </c>
      <c r="H67">
        <v>0</v>
      </c>
      <c r="I67">
        <v>3</v>
      </c>
      <c r="J67">
        <v>5</v>
      </c>
      <c r="K67" t="s">
        <v>224</v>
      </c>
    </row>
    <row r="68" spans="1:11" x14ac:dyDescent="0.25">
      <c r="A68">
        <v>67</v>
      </c>
      <c r="B68" t="s">
        <v>76</v>
      </c>
      <c r="C68" t="s">
        <v>215</v>
      </c>
      <c r="D68" t="s">
        <v>217</v>
      </c>
      <c r="E68">
        <v>38</v>
      </c>
      <c r="F68" t="s">
        <v>222</v>
      </c>
      <c r="G68">
        <v>4800</v>
      </c>
      <c r="H68">
        <v>8</v>
      </c>
      <c r="I68">
        <v>1</v>
      </c>
      <c r="J68">
        <v>0</v>
      </c>
      <c r="K68" t="s">
        <v>223</v>
      </c>
    </row>
    <row r="69" spans="1:11" x14ac:dyDescent="0.25">
      <c r="A69">
        <v>68</v>
      </c>
      <c r="B69" t="s">
        <v>77</v>
      </c>
      <c r="C69" t="s">
        <v>214</v>
      </c>
      <c r="D69" t="s">
        <v>219</v>
      </c>
      <c r="E69">
        <v>56</v>
      </c>
      <c r="F69" t="s">
        <v>221</v>
      </c>
      <c r="G69">
        <v>9908</v>
      </c>
      <c r="H69">
        <v>3</v>
      </c>
      <c r="I69">
        <v>5</v>
      </c>
      <c r="J69">
        <v>2</v>
      </c>
      <c r="K69" t="s">
        <v>223</v>
      </c>
    </row>
    <row r="70" spans="1:11" x14ac:dyDescent="0.25">
      <c r="A70">
        <v>69</v>
      </c>
      <c r="B70" t="s">
        <v>78</v>
      </c>
      <c r="C70" t="s">
        <v>211</v>
      </c>
      <c r="D70" t="s">
        <v>217</v>
      </c>
      <c r="E70">
        <v>39</v>
      </c>
      <c r="F70" t="s">
        <v>222</v>
      </c>
      <c r="G70">
        <v>3500</v>
      </c>
      <c r="H70">
        <v>0</v>
      </c>
      <c r="I70">
        <v>5</v>
      </c>
      <c r="J70">
        <v>3</v>
      </c>
      <c r="K70" t="s">
        <v>223</v>
      </c>
    </row>
    <row r="71" spans="1:11" x14ac:dyDescent="0.25">
      <c r="A71">
        <v>70</v>
      </c>
      <c r="B71" t="s">
        <v>79</v>
      </c>
      <c r="C71" t="s">
        <v>212</v>
      </c>
      <c r="D71" t="s">
        <v>220</v>
      </c>
      <c r="E71">
        <v>49</v>
      </c>
      <c r="F71" t="s">
        <v>222</v>
      </c>
      <c r="G71">
        <v>5000</v>
      </c>
      <c r="H71">
        <v>8</v>
      </c>
      <c r="I71">
        <v>4</v>
      </c>
      <c r="J71">
        <v>3</v>
      </c>
      <c r="K71" t="s">
        <v>224</v>
      </c>
    </row>
    <row r="72" spans="1:11" x14ac:dyDescent="0.25">
      <c r="A72">
        <v>71</v>
      </c>
      <c r="B72" t="s">
        <v>80</v>
      </c>
      <c r="C72" t="s">
        <v>213</v>
      </c>
      <c r="D72" t="s">
        <v>219</v>
      </c>
      <c r="E72">
        <v>34</v>
      </c>
      <c r="F72" t="s">
        <v>222</v>
      </c>
      <c r="G72">
        <v>12000</v>
      </c>
      <c r="H72">
        <v>5</v>
      </c>
      <c r="I72">
        <v>5</v>
      </c>
      <c r="J72">
        <v>3</v>
      </c>
      <c r="K72" t="s">
        <v>223</v>
      </c>
    </row>
    <row r="73" spans="1:11" x14ac:dyDescent="0.25">
      <c r="A73">
        <v>72</v>
      </c>
      <c r="B73" t="s">
        <v>81</v>
      </c>
      <c r="C73" t="s">
        <v>213</v>
      </c>
      <c r="D73" t="s">
        <v>220</v>
      </c>
      <c r="E73">
        <v>36</v>
      </c>
      <c r="F73" t="s">
        <v>222</v>
      </c>
      <c r="G73">
        <v>7748</v>
      </c>
      <c r="H73">
        <v>12</v>
      </c>
      <c r="I73">
        <v>4</v>
      </c>
      <c r="J73">
        <v>4</v>
      </c>
      <c r="K73" t="s">
        <v>224</v>
      </c>
    </row>
    <row r="74" spans="1:11" x14ac:dyDescent="0.25">
      <c r="A74">
        <v>73</v>
      </c>
      <c r="B74" t="s">
        <v>82</v>
      </c>
      <c r="C74" t="s">
        <v>215</v>
      </c>
      <c r="D74" t="s">
        <v>219</v>
      </c>
      <c r="E74">
        <v>44</v>
      </c>
      <c r="F74" t="s">
        <v>221</v>
      </c>
      <c r="G74">
        <v>10372</v>
      </c>
      <c r="H74">
        <v>2</v>
      </c>
      <c r="I74">
        <v>5</v>
      </c>
      <c r="J74">
        <v>0</v>
      </c>
      <c r="K74" t="s">
        <v>224</v>
      </c>
    </row>
    <row r="75" spans="1:11" x14ac:dyDescent="0.25">
      <c r="A75">
        <v>74</v>
      </c>
      <c r="B75" t="s">
        <v>83</v>
      </c>
      <c r="C75" t="s">
        <v>215</v>
      </c>
      <c r="D75" t="s">
        <v>217</v>
      </c>
      <c r="E75">
        <v>55</v>
      </c>
      <c r="F75" t="s">
        <v>221</v>
      </c>
      <c r="G75">
        <v>4500</v>
      </c>
      <c r="H75">
        <v>15</v>
      </c>
      <c r="I75">
        <v>1</v>
      </c>
      <c r="J75">
        <v>2</v>
      </c>
      <c r="K75" t="s">
        <v>224</v>
      </c>
    </row>
    <row r="76" spans="1:11" x14ac:dyDescent="0.25">
      <c r="A76">
        <v>75</v>
      </c>
      <c r="B76" t="s">
        <v>84</v>
      </c>
      <c r="C76" t="s">
        <v>214</v>
      </c>
      <c r="D76" t="s">
        <v>216</v>
      </c>
      <c r="E76">
        <v>40</v>
      </c>
      <c r="F76" t="s">
        <v>222</v>
      </c>
      <c r="G76">
        <v>3000</v>
      </c>
      <c r="H76">
        <v>6</v>
      </c>
      <c r="I76">
        <v>1</v>
      </c>
      <c r="J76">
        <v>1</v>
      </c>
      <c r="K76" t="s">
        <v>224</v>
      </c>
    </row>
    <row r="77" spans="1:11" x14ac:dyDescent="0.25">
      <c r="A77">
        <v>76</v>
      </c>
      <c r="B77" t="s">
        <v>85</v>
      </c>
      <c r="C77" t="s">
        <v>211</v>
      </c>
      <c r="D77" t="s">
        <v>217</v>
      </c>
      <c r="E77">
        <v>24</v>
      </c>
      <c r="F77" t="s">
        <v>221</v>
      </c>
      <c r="G77">
        <v>4500</v>
      </c>
      <c r="H77">
        <v>7</v>
      </c>
      <c r="I77">
        <v>4</v>
      </c>
      <c r="J77">
        <v>4</v>
      </c>
      <c r="K77" t="s">
        <v>224</v>
      </c>
    </row>
    <row r="78" spans="1:11" x14ac:dyDescent="0.25">
      <c r="A78">
        <v>77</v>
      </c>
      <c r="B78" t="s">
        <v>86</v>
      </c>
      <c r="C78" t="s">
        <v>215</v>
      </c>
      <c r="D78" t="s">
        <v>218</v>
      </c>
      <c r="E78">
        <v>22</v>
      </c>
      <c r="F78" t="s">
        <v>222</v>
      </c>
      <c r="G78">
        <v>8268</v>
      </c>
      <c r="H78">
        <v>9</v>
      </c>
      <c r="I78">
        <v>1</v>
      </c>
      <c r="J78">
        <v>2</v>
      </c>
      <c r="K78" t="s">
        <v>224</v>
      </c>
    </row>
    <row r="79" spans="1:11" x14ac:dyDescent="0.25">
      <c r="A79">
        <v>78</v>
      </c>
      <c r="B79" t="s">
        <v>87</v>
      </c>
      <c r="C79" t="s">
        <v>211</v>
      </c>
      <c r="D79" t="s">
        <v>217</v>
      </c>
      <c r="E79">
        <v>60</v>
      </c>
      <c r="F79" t="s">
        <v>221</v>
      </c>
      <c r="G79">
        <v>3617</v>
      </c>
      <c r="H79">
        <v>18</v>
      </c>
      <c r="I79">
        <v>5</v>
      </c>
      <c r="J79">
        <v>3</v>
      </c>
      <c r="K79" t="s">
        <v>223</v>
      </c>
    </row>
    <row r="80" spans="1:11" x14ac:dyDescent="0.25">
      <c r="A80">
        <v>79</v>
      </c>
      <c r="B80" t="s">
        <v>88</v>
      </c>
      <c r="C80" t="s">
        <v>210</v>
      </c>
      <c r="D80" t="s">
        <v>217</v>
      </c>
      <c r="E80">
        <v>39</v>
      </c>
      <c r="F80" t="s">
        <v>222</v>
      </c>
      <c r="G80">
        <v>5000</v>
      </c>
      <c r="H80">
        <v>14</v>
      </c>
      <c r="I80">
        <v>3</v>
      </c>
      <c r="J80">
        <v>4</v>
      </c>
      <c r="K80" t="s">
        <v>223</v>
      </c>
    </row>
    <row r="81" spans="1:11" x14ac:dyDescent="0.25">
      <c r="A81">
        <v>80</v>
      </c>
      <c r="B81" t="s">
        <v>89</v>
      </c>
      <c r="C81" t="s">
        <v>210</v>
      </c>
      <c r="D81" t="s">
        <v>219</v>
      </c>
      <c r="E81">
        <v>37</v>
      </c>
      <c r="F81" t="s">
        <v>222</v>
      </c>
      <c r="G81">
        <v>14000</v>
      </c>
      <c r="H81">
        <v>11</v>
      </c>
      <c r="I81">
        <v>1</v>
      </c>
      <c r="J81">
        <v>1</v>
      </c>
      <c r="K81" t="s">
        <v>224</v>
      </c>
    </row>
    <row r="82" spans="1:11" x14ac:dyDescent="0.25">
      <c r="A82">
        <v>81</v>
      </c>
      <c r="B82" t="s">
        <v>90</v>
      </c>
      <c r="C82" t="s">
        <v>212</v>
      </c>
      <c r="D82" t="s">
        <v>217</v>
      </c>
      <c r="E82">
        <v>43</v>
      </c>
      <c r="F82" t="s">
        <v>222</v>
      </c>
      <c r="G82">
        <v>3400</v>
      </c>
      <c r="H82">
        <v>2</v>
      </c>
      <c r="I82">
        <v>4</v>
      </c>
      <c r="J82">
        <v>4</v>
      </c>
      <c r="K82" t="s">
        <v>224</v>
      </c>
    </row>
    <row r="83" spans="1:11" x14ac:dyDescent="0.25">
      <c r="A83">
        <v>82</v>
      </c>
      <c r="B83" t="s">
        <v>91</v>
      </c>
      <c r="C83" t="s">
        <v>215</v>
      </c>
      <c r="D83" t="s">
        <v>216</v>
      </c>
      <c r="E83">
        <v>58</v>
      </c>
      <c r="F83" t="s">
        <v>222</v>
      </c>
      <c r="G83">
        <v>2800</v>
      </c>
      <c r="H83">
        <v>2</v>
      </c>
      <c r="I83">
        <v>4</v>
      </c>
      <c r="J83">
        <v>3</v>
      </c>
      <c r="K83" t="s">
        <v>224</v>
      </c>
    </row>
    <row r="84" spans="1:11" x14ac:dyDescent="0.25">
      <c r="A84">
        <v>83</v>
      </c>
      <c r="B84" t="s">
        <v>92</v>
      </c>
      <c r="C84" t="s">
        <v>214</v>
      </c>
      <c r="D84" t="s">
        <v>217</v>
      </c>
      <c r="E84">
        <v>25</v>
      </c>
      <c r="F84" t="s">
        <v>222</v>
      </c>
      <c r="G84">
        <v>2900</v>
      </c>
      <c r="H84">
        <v>5</v>
      </c>
      <c r="I84">
        <v>1</v>
      </c>
      <c r="J84">
        <v>5</v>
      </c>
      <c r="K84" t="s">
        <v>223</v>
      </c>
    </row>
    <row r="85" spans="1:11" x14ac:dyDescent="0.25">
      <c r="A85">
        <v>84</v>
      </c>
      <c r="B85" t="s">
        <v>93</v>
      </c>
      <c r="C85" t="s">
        <v>210</v>
      </c>
      <c r="D85" t="s">
        <v>216</v>
      </c>
      <c r="E85">
        <v>35</v>
      </c>
      <c r="F85" t="s">
        <v>222</v>
      </c>
      <c r="G85">
        <v>4000</v>
      </c>
      <c r="H85">
        <v>20</v>
      </c>
      <c r="I85">
        <v>4</v>
      </c>
      <c r="J85">
        <v>5</v>
      </c>
      <c r="K85" t="s">
        <v>223</v>
      </c>
    </row>
    <row r="86" spans="1:11" x14ac:dyDescent="0.25">
      <c r="A86">
        <v>85</v>
      </c>
      <c r="B86" t="s">
        <v>94</v>
      </c>
      <c r="C86" t="s">
        <v>215</v>
      </c>
      <c r="D86" t="s">
        <v>216</v>
      </c>
      <c r="E86">
        <v>37</v>
      </c>
      <c r="F86" t="s">
        <v>221</v>
      </c>
      <c r="G86">
        <v>3606</v>
      </c>
      <c r="H86">
        <v>10</v>
      </c>
      <c r="I86">
        <v>1</v>
      </c>
      <c r="J86">
        <v>0</v>
      </c>
      <c r="K86" t="s">
        <v>223</v>
      </c>
    </row>
    <row r="87" spans="1:11" x14ac:dyDescent="0.25">
      <c r="A87">
        <v>86</v>
      </c>
      <c r="B87" t="s">
        <v>95</v>
      </c>
      <c r="C87" t="s">
        <v>214</v>
      </c>
      <c r="D87" t="s">
        <v>217</v>
      </c>
      <c r="E87">
        <v>37</v>
      </c>
      <c r="F87" t="s">
        <v>221</v>
      </c>
      <c r="G87">
        <v>3907</v>
      </c>
      <c r="H87">
        <v>7</v>
      </c>
      <c r="I87">
        <v>3</v>
      </c>
      <c r="J87">
        <v>3</v>
      </c>
      <c r="K87" t="s">
        <v>223</v>
      </c>
    </row>
    <row r="88" spans="1:11" x14ac:dyDescent="0.25">
      <c r="A88">
        <v>87</v>
      </c>
      <c r="B88" t="s">
        <v>96</v>
      </c>
      <c r="C88" t="s">
        <v>211</v>
      </c>
      <c r="D88" t="s">
        <v>220</v>
      </c>
      <c r="E88">
        <v>23</v>
      </c>
      <c r="F88" t="s">
        <v>222</v>
      </c>
      <c r="G88">
        <v>4297</v>
      </c>
      <c r="H88">
        <v>16</v>
      </c>
      <c r="I88">
        <v>1</v>
      </c>
      <c r="J88">
        <v>5</v>
      </c>
      <c r="K88" t="s">
        <v>224</v>
      </c>
    </row>
    <row r="89" spans="1:11" x14ac:dyDescent="0.25">
      <c r="A89">
        <v>88</v>
      </c>
      <c r="B89" t="s">
        <v>97</v>
      </c>
      <c r="C89" t="s">
        <v>210</v>
      </c>
      <c r="D89" t="s">
        <v>218</v>
      </c>
      <c r="E89">
        <v>30</v>
      </c>
      <c r="F89" t="s">
        <v>222</v>
      </c>
      <c r="G89">
        <v>6200</v>
      </c>
      <c r="H89">
        <v>8</v>
      </c>
      <c r="I89">
        <v>5</v>
      </c>
      <c r="J89">
        <v>4</v>
      </c>
      <c r="K89" t="s">
        <v>223</v>
      </c>
    </row>
    <row r="90" spans="1:11" x14ac:dyDescent="0.25">
      <c r="A90">
        <v>89</v>
      </c>
      <c r="B90" t="s">
        <v>98</v>
      </c>
      <c r="C90" t="s">
        <v>211</v>
      </c>
      <c r="D90" t="s">
        <v>220</v>
      </c>
      <c r="E90">
        <v>60</v>
      </c>
      <c r="F90" t="s">
        <v>222</v>
      </c>
      <c r="G90">
        <v>4288</v>
      </c>
      <c r="H90">
        <v>18</v>
      </c>
      <c r="I90">
        <v>5</v>
      </c>
      <c r="J90">
        <v>4</v>
      </c>
      <c r="K90" t="s">
        <v>223</v>
      </c>
    </row>
    <row r="91" spans="1:11" x14ac:dyDescent="0.25">
      <c r="A91">
        <v>90</v>
      </c>
      <c r="B91" t="s">
        <v>99</v>
      </c>
      <c r="C91" t="s">
        <v>215</v>
      </c>
      <c r="D91" t="s">
        <v>219</v>
      </c>
      <c r="E91">
        <v>23</v>
      </c>
      <c r="F91" t="s">
        <v>222</v>
      </c>
      <c r="G91">
        <v>10200</v>
      </c>
      <c r="H91">
        <v>4</v>
      </c>
      <c r="I91">
        <v>1</v>
      </c>
      <c r="J91">
        <v>0</v>
      </c>
      <c r="K91" t="s">
        <v>224</v>
      </c>
    </row>
    <row r="92" spans="1:11" x14ac:dyDescent="0.25">
      <c r="A92">
        <v>91</v>
      </c>
      <c r="B92" t="s">
        <v>100</v>
      </c>
      <c r="C92" t="s">
        <v>214</v>
      </c>
      <c r="D92" t="s">
        <v>220</v>
      </c>
      <c r="E92">
        <v>35</v>
      </c>
      <c r="F92" t="s">
        <v>221</v>
      </c>
      <c r="G92">
        <v>4000</v>
      </c>
      <c r="H92">
        <v>6</v>
      </c>
      <c r="I92">
        <v>2</v>
      </c>
      <c r="J92">
        <v>0</v>
      </c>
      <c r="K92" t="s">
        <v>224</v>
      </c>
    </row>
    <row r="93" spans="1:11" x14ac:dyDescent="0.25">
      <c r="A93">
        <v>92</v>
      </c>
      <c r="B93" t="s">
        <v>101</v>
      </c>
      <c r="C93" t="s">
        <v>213</v>
      </c>
      <c r="D93" t="s">
        <v>218</v>
      </c>
      <c r="E93">
        <v>40</v>
      </c>
      <c r="F93" t="s">
        <v>222</v>
      </c>
      <c r="G93">
        <v>9904</v>
      </c>
      <c r="H93">
        <v>20</v>
      </c>
      <c r="I93">
        <v>2</v>
      </c>
      <c r="J93">
        <v>1</v>
      </c>
      <c r="K93" t="s">
        <v>223</v>
      </c>
    </row>
    <row r="94" spans="1:11" x14ac:dyDescent="0.25">
      <c r="A94">
        <v>93</v>
      </c>
      <c r="B94" t="s">
        <v>102</v>
      </c>
      <c r="C94" t="s">
        <v>211</v>
      </c>
      <c r="D94" t="s">
        <v>220</v>
      </c>
      <c r="E94">
        <v>58</v>
      </c>
      <c r="F94" t="s">
        <v>221</v>
      </c>
      <c r="G94">
        <v>5050</v>
      </c>
      <c r="H94">
        <v>4</v>
      </c>
      <c r="I94">
        <v>4</v>
      </c>
      <c r="J94">
        <v>2</v>
      </c>
      <c r="K94" t="s">
        <v>224</v>
      </c>
    </row>
    <row r="95" spans="1:11" x14ac:dyDescent="0.25">
      <c r="A95">
        <v>94</v>
      </c>
      <c r="B95" t="s">
        <v>103</v>
      </c>
      <c r="C95" t="s">
        <v>211</v>
      </c>
      <c r="D95" t="s">
        <v>216</v>
      </c>
      <c r="E95">
        <v>48</v>
      </c>
      <c r="F95" t="s">
        <v>221</v>
      </c>
      <c r="G95">
        <v>3802</v>
      </c>
      <c r="H95">
        <v>13</v>
      </c>
      <c r="I95">
        <v>4</v>
      </c>
      <c r="J95">
        <v>1</v>
      </c>
      <c r="K95" t="s">
        <v>224</v>
      </c>
    </row>
    <row r="96" spans="1:11" x14ac:dyDescent="0.25">
      <c r="A96">
        <v>95</v>
      </c>
      <c r="B96" t="s">
        <v>104</v>
      </c>
      <c r="C96" t="s">
        <v>213</v>
      </c>
      <c r="D96" t="s">
        <v>220</v>
      </c>
      <c r="E96">
        <v>39</v>
      </c>
      <c r="F96" t="s">
        <v>221</v>
      </c>
      <c r="G96">
        <v>4062</v>
      </c>
      <c r="H96">
        <v>5</v>
      </c>
      <c r="I96">
        <v>2</v>
      </c>
      <c r="J96">
        <v>1</v>
      </c>
      <c r="K96" t="s">
        <v>224</v>
      </c>
    </row>
    <row r="97" spans="1:11" x14ac:dyDescent="0.25">
      <c r="A97">
        <v>96</v>
      </c>
      <c r="B97" t="s">
        <v>105</v>
      </c>
      <c r="C97" t="s">
        <v>211</v>
      </c>
      <c r="D97" t="s">
        <v>217</v>
      </c>
      <c r="E97">
        <v>45</v>
      </c>
      <c r="F97" t="s">
        <v>221</v>
      </c>
      <c r="G97">
        <v>3172</v>
      </c>
      <c r="H97">
        <v>12</v>
      </c>
      <c r="I97">
        <v>4</v>
      </c>
      <c r="J97">
        <v>3</v>
      </c>
      <c r="K97" t="s">
        <v>224</v>
      </c>
    </row>
    <row r="98" spans="1:11" x14ac:dyDescent="0.25">
      <c r="A98">
        <v>97</v>
      </c>
      <c r="B98" t="s">
        <v>106</v>
      </c>
      <c r="C98" t="s">
        <v>211</v>
      </c>
      <c r="D98" t="s">
        <v>220</v>
      </c>
      <c r="E98">
        <v>55</v>
      </c>
      <c r="F98" t="s">
        <v>222</v>
      </c>
      <c r="G98">
        <v>4500</v>
      </c>
      <c r="H98">
        <v>3</v>
      </c>
      <c r="I98">
        <v>1</v>
      </c>
      <c r="J98">
        <v>5</v>
      </c>
      <c r="K98" t="s">
        <v>223</v>
      </c>
    </row>
    <row r="99" spans="1:11" x14ac:dyDescent="0.25">
      <c r="A99">
        <v>98</v>
      </c>
      <c r="B99" t="s">
        <v>107</v>
      </c>
      <c r="C99" t="s">
        <v>210</v>
      </c>
      <c r="D99" t="s">
        <v>220</v>
      </c>
      <c r="E99">
        <v>25</v>
      </c>
      <c r="F99" t="s">
        <v>221</v>
      </c>
      <c r="G99">
        <v>7000</v>
      </c>
      <c r="H99">
        <v>12</v>
      </c>
      <c r="I99">
        <v>3</v>
      </c>
      <c r="J99">
        <v>3</v>
      </c>
      <c r="K99" t="s">
        <v>223</v>
      </c>
    </row>
    <row r="100" spans="1:11" x14ac:dyDescent="0.25">
      <c r="A100">
        <v>99</v>
      </c>
      <c r="B100" t="s">
        <v>108</v>
      </c>
      <c r="C100" t="s">
        <v>210</v>
      </c>
      <c r="D100" t="s">
        <v>220</v>
      </c>
      <c r="E100">
        <v>55</v>
      </c>
      <c r="F100" t="s">
        <v>222</v>
      </c>
      <c r="G100">
        <v>4795</v>
      </c>
      <c r="H100">
        <v>18</v>
      </c>
      <c r="I100">
        <v>1</v>
      </c>
      <c r="J100">
        <v>3</v>
      </c>
      <c r="K100" t="s">
        <v>223</v>
      </c>
    </row>
    <row r="101" spans="1:11" x14ac:dyDescent="0.25">
      <c r="A101">
        <v>100</v>
      </c>
      <c r="B101" t="s">
        <v>109</v>
      </c>
      <c r="C101" t="s">
        <v>214</v>
      </c>
      <c r="D101" t="s">
        <v>219</v>
      </c>
      <c r="E101">
        <v>38</v>
      </c>
      <c r="F101" t="s">
        <v>222</v>
      </c>
      <c r="G101">
        <v>9480</v>
      </c>
      <c r="H101">
        <v>16</v>
      </c>
      <c r="I101">
        <v>5</v>
      </c>
      <c r="J101">
        <v>2</v>
      </c>
      <c r="K101" t="s">
        <v>223</v>
      </c>
    </row>
    <row r="102" spans="1:11" x14ac:dyDescent="0.25">
      <c r="A102">
        <v>101</v>
      </c>
      <c r="B102" t="s">
        <v>110</v>
      </c>
      <c r="C102" t="s">
        <v>213</v>
      </c>
      <c r="D102" t="s">
        <v>217</v>
      </c>
      <c r="E102">
        <v>23</v>
      </c>
      <c r="F102" t="s">
        <v>222</v>
      </c>
      <c r="G102">
        <v>3849</v>
      </c>
      <c r="H102">
        <v>9</v>
      </c>
      <c r="I102">
        <v>5</v>
      </c>
      <c r="J102">
        <v>3</v>
      </c>
      <c r="K102" t="s">
        <v>223</v>
      </c>
    </row>
    <row r="103" spans="1:11" x14ac:dyDescent="0.25">
      <c r="A103">
        <v>102</v>
      </c>
      <c r="B103" t="s">
        <v>111</v>
      </c>
      <c r="C103" t="s">
        <v>213</v>
      </c>
      <c r="D103" t="s">
        <v>217</v>
      </c>
      <c r="E103">
        <v>57</v>
      </c>
      <c r="F103" t="s">
        <v>222</v>
      </c>
      <c r="G103">
        <v>3900</v>
      </c>
      <c r="H103">
        <v>1</v>
      </c>
      <c r="I103">
        <v>2</v>
      </c>
      <c r="J103">
        <v>0</v>
      </c>
      <c r="K103" t="s">
        <v>223</v>
      </c>
    </row>
    <row r="104" spans="1:11" x14ac:dyDescent="0.25">
      <c r="A104">
        <v>103</v>
      </c>
      <c r="B104" t="s">
        <v>112</v>
      </c>
      <c r="C104" t="s">
        <v>215</v>
      </c>
      <c r="D104" t="s">
        <v>219</v>
      </c>
      <c r="E104">
        <v>36</v>
      </c>
      <c r="F104" t="s">
        <v>222</v>
      </c>
      <c r="G104">
        <v>8800</v>
      </c>
      <c r="H104">
        <v>11</v>
      </c>
      <c r="I104">
        <v>4</v>
      </c>
      <c r="J104">
        <v>3</v>
      </c>
      <c r="K104" t="s">
        <v>223</v>
      </c>
    </row>
    <row r="105" spans="1:11" x14ac:dyDescent="0.25">
      <c r="A105">
        <v>104</v>
      </c>
      <c r="B105" t="s">
        <v>113</v>
      </c>
      <c r="C105" t="s">
        <v>213</v>
      </c>
      <c r="D105" t="s">
        <v>220</v>
      </c>
      <c r="E105">
        <v>22</v>
      </c>
      <c r="F105" t="s">
        <v>221</v>
      </c>
      <c r="G105">
        <v>7500</v>
      </c>
      <c r="H105">
        <v>17</v>
      </c>
      <c r="I105">
        <v>3</v>
      </c>
      <c r="J105">
        <v>4</v>
      </c>
      <c r="K105" t="s">
        <v>223</v>
      </c>
    </row>
    <row r="106" spans="1:11" x14ac:dyDescent="0.25">
      <c r="A106">
        <v>105</v>
      </c>
      <c r="B106" t="s">
        <v>114</v>
      </c>
      <c r="C106" t="s">
        <v>214</v>
      </c>
      <c r="D106" t="s">
        <v>217</v>
      </c>
      <c r="E106">
        <v>53</v>
      </c>
      <c r="F106" t="s">
        <v>221</v>
      </c>
      <c r="G106">
        <v>3000</v>
      </c>
      <c r="H106">
        <v>7</v>
      </c>
      <c r="I106">
        <v>1</v>
      </c>
      <c r="J106">
        <v>1</v>
      </c>
      <c r="K106" t="s">
        <v>223</v>
      </c>
    </row>
    <row r="107" spans="1:11" x14ac:dyDescent="0.25">
      <c r="A107">
        <v>106</v>
      </c>
      <c r="B107" t="s">
        <v>115</v>
      </c>
      <c r="C107" t="s">
        <v>211</v>
      </c>
      <c r="D107" t="s">
        <v>220</v>
      </c>
      <c r="E107">
        <v>57</v>
      </c>
      <c r="F107" t="s">
        <v>221</v>
      </c>
      <c r="G107">
        <v>6510</v>
      </c>
      <c r="H107">
        <v>6</v>
      </c>
      <c r="I107">
        <v>2</v>
      </c>
      <c r="J107">
        <v>5</v>
      </c>
      <c r="K107" t="s">
        <v>223</v>
      </c>
    </row>
    <row r="108" spans="1:11" x14ac:dyDescent="0.25">
      <c r="A108">
        <v>107</v>
      </c>
      <c r="B108" t="s">
        <v>116</v>
      </c>
      <c r="C108" t="s">
        <v>213</v>
      </c>
      <c r="D108" t="s">
        <v>220</v>
      </c>
      <c r="E108">
        <v>60</v>
      </c>
      <c r="F108" t="s">
        <v>221</v>
      </c>
      <c r="G108">
        <v>5849</v>
      </c>
      <c r="H108">
        <v>16</v>
      </c>
      <c r="I108">
        <v>2</v>
      </c>
      <c r="J108">
        <v>2</v>
      </c>
      <c r="K108" t="s">
        <v>223</v>
      </c>
    </row>
    <row r="109" spans="1:11" x14ac:dyDescent="0.25">
      <c r="A109">
        <v>108</v>
      </c>
      <c r="B109" t="s">
        <v>117</v>
      </c>
      <c r="C109" t="s">
        <v>210</v>
      </c>
      <c r="D109" t="s">
        <v>220</v>
      </c>
      <c r="E109">
        <v>24</v>
      </c>
      <c r="F109" t="s">
        <v>222</v>
      </c>
      <c r="G109">
        <v>6500</v>
      </c>
      <c r="H109">
        <v>7</v>
      </c>
      <c r="I109">
        <v>4</v>
      </c>
      <c r="J109">
        <v>0</v>
      </c>
      <c r="K109" t="s">
        <v>223</v>
      </c>
    </row>
    <row r="110" spans="1:11" x14ac:dyDescent="0.25">
      <c r="A110">
        <v>109</v>
      </c>
      <c r="B110" t="s">
        <v>118</v>
      </c>
      <c r="C110" t="s">
        <v>211</v>
      </c>
      <c r="D110" t="s">
        <v>217</v>
      </c>
      <c r="E110">
        <v>46</v>
      </c>
      <c r="F110" t="s">
        <v>221</v>
      </c>
      <c r="G110">
        <v>4000</v>
      </c>
      <c r="H110">
        <v>5</v>
      </c>
      <c r="I110">
        <v>2</v>
      </c>
      <c r="J110">
        <v>2</v>
      </c>
      <c r="K110" t="s">
        <v>223</v>
      </c>
    </row>
    <row r="111" spans="1:11" x14ac:dyDescent="0.25">
      <c r="A111">
        <v>110</v>
      </c>
      <c r="B111" t="s">
        <v>119</v>
      </c>
      <c r="C111" t="s">
        <v>213</v>
      </c>
      <c r="D111" t="s">
        <v>220</v>
      </c>
      <c r="E111">
        <v>53</v>
      </c>
      <c r="F111" t="s">
        <v>221</v>
      </c>
      <c r="G111">
        <v>7500</v>
      </c>
      <c r="H111">
        <v>19</v>
      </c>
      <c r="I111">
        <v>4</v>
      </c>
      <c r="J111">
        <v>5</v>
      </c>
      <c r="K111" t="s">
        <v>223</v>
      </c>
    </row>
    <row r="112" spans="1:11" x14ac:dyDescent="0.25">
      <c r="A112">
        <v>111</v>
      </c>
      <c r="B112" t="s">
        <v>120</v>
      </c>
      <c r="C112" t="s">
        <v>210</v>
      </c>
      <c r="D112" t="s">
        <v>218</v>
      </c>
      <c r="E112">
        <v>50</v>
      </c>
      <c r="F112" t="s">
        <v>222</v>
      </c>
      <c r="G112">
        <v>11927</v>
      </c>
      <c r="H112">
        <v>11</v>
      </c>
      <c r="I112">
        <v>3</v>
      </c>
      <c r="J112">
        <v>5</v>
      </c>
      <c r="K112" t="s">
        <v>223</v>
      </c>
    </row>
    <row r="113" spans="1:11" x14ac:dyDescent="0.25">
      <c r="A113">
        <v>112</v>
      </c>
      <c r="B113" t="s">
        <v>121</v>
      </c>
      <c r="C113" t="s">
        <v>214</v>
      </c>
      <c r="D113" t="s">
        <v>216</v>
      </c>
      <c r="E113">
        <v>29</v>
      </c>
      <c r="F113" t="s">
        <v>222</v>
      </c>
      <c r="G113">
        <v>2300</v>
      </c>
      <c r="H113">
        <v>17</v>
      </c>
      <c r="I113">
        <v>4</v>
      </c>
      <c r="J113">
        <v>0</v>
      </c>
      <c r="K113" t="s">
        <v>223</v>
      </c>
    </row>
    <row r="114" spans="1:11" x14ac:dyDescent="0.25">
      <c r="A114">
        <v>113</v>
      </c>
      <c r="B114" t="s">
        <v>122</v>
      </c>
      <c r="C114" t="s">
        <v>211</v>
      </c>
      <c r="D114" t="s">
        <v>220</v>
      </c>
      <c r="E114">
        <v>26</v>
      </c>
      <c r="F114" t="s">
        <v>221</v>
      </c>
      <c r="G114">
        <v>4500</v>
      </c>
      <c r="H114">
        <v>17</v>
      </c>
      <c r="I114">
        <v>5</v>
      </c>
      <c r="J114">
        <v>5</v>
      </c>
      <c r="K114" t="s">
        <v>223</v>
      </c>
    </row>
    <row r="115" spans="1:11" x14ac:dyDescent="0.25">
      <c r="A115">
        <v>114</v>
      </c>
      <c r="B115" t="s">
        <v>123</v>
      </c>
      <c r="C115" t="s">
        <v>215</v>
      </c>
      <c r="D115" t="s">
        <v>220</v>
      </c>
      <c r="E115">
        <v>47</v>
      </c>
      <c r="F115" t="s">
        <v>221</v>
      </c>
      <c r="G115">
        <v>6321</v>
      </c>
      <c r="H115">
        <v>3</v>
      </c>
      <c r="I115">
        <v>2</v>
      </c>
      <c r="J115">
        <v>0</v>
      </c>
      <c r="K115" t="s">
        <v>223</v>
      </c>
    </row>
    <row r="116" spans="1:11" x14ac:dyDescent="0.25">
      <c r="A116">
        <v>115</v>
      </c>
      <c r="B116" t="s">
        <v>124</v>
      </c>
      <c r="C116" t="s">
        <v>211</v>
      </c>
      <c r="D116" t="s">
        <v>217</v>
      </c>
      <c r="E116">
        <v>43</v>
      </c>
      <c r="F116" t="s">
        <v>222</v>
      </c>
      <c r="G116">
        <v>3500</v>
      </c>
      <c r="H116">
        <v>19</v>
      </c>
      <c r="I116">
        <v>4</v>
      </c>
      <c r="J116">
        <v>5</v>
      </c>
      <c r="K116" t="s">
        <v>223</v>
      </c>
    </row>
    <row r="117" spans="1:11" x14ac:dyDescent="0.25">
      <c r="A117">
        <v>116</v>
      </c>
      <c r="B117" t="s">
        <v>125</v>
      </c>
      <c r="C117" t="s">
        <v>211</v>
      </c>
      <c r="D117" t="s">
        <v>217</v>
      </c>
      <c r="E117">
        <v>57</v>
      </c>
      <c r="F117" t="s">
        <v>222</v>
      </c>
      <c r="G117">
        <v>3600</v>
      </c>
      <c r="H117">
        <v>0</v>
      </c>
      <c r="I117">
        <v>5</v>
      </c>
      <c r="J117">
        <v>2</v>
      </c>
      <c r="K117" t="s">
        <v>223</v>
      </c>
    </row>
    <row r="118" spans="1:11" x14ac:dyDescent="0.25">
      <c r="A118">
        <v>117</v>
      </c>
      <c r="B118" t="s">
        <v>126</v>
      </c>
      <c r="C118" t="s">
        <v>210</v>
      </c>
      <c r="D118" t="s">
        <v>218</v>
      </c>
      <c r="E118">
        <v>36</v>
      </c>
      <c r="F118" t="s">
        <v>221</v>
      </c>
      <c r="G118">
        <v>8176</v>
      </c>
      <c r="H118">
        <v>2</v>
      </c>
      <c r="I118">
        <v>5</v>
      </c>
      <c r="J118">
        <v>2</v>
      </c>
      <c r="K118" t="s">
        <v>223</v>
      </c>
    </row>
    <row r="119" spans="1:11" x14ac:dyDescent="0.25">
      <c r="A119">
        <v>118</v>
      </c>
      <c r="B119" t="s">
        <v>127</v>
      </c>
      <c r="C119" t="s">
        <v>211</v>
      </c>
      <c r="D119" t="s">
        <v>216</v>
      </c>
      <c r="E119">
        <v>31</v>
      </c>
      <c r="F119" t="s">
        <v>221</v>
      </c>
      <c r="G119">
        <v>2000</v>
      </c>
      <c r="H119">
        <v>20</v>
      </c>
      <c r="I119">
        <v>4</v>
      </c>
      <c r="J119">
        <v>2</v>
      </c>
      <c r="K119" t="s">
        <v>223</v>
      </c>
    </row>
    <row r="120" spans="1:11" x14ac:dyDescent="0.25">
      <c r="A120">
        <v>119</v>
      </c>
      <c r="B120" t="s">
        <v>128</v>
      </c>
      <c r="C120" t="s">
        <v>210</v>
      </c>
      <c r="D120" t="s">
        <v>218</v>
      </c>
      <c r="E120">
        <v>58</v>
      </c>
      <c r="F120" t="s">
        <v>222</v>
      </c>
      <c r="G120">
        <v>9498</v>
      </c>
      <c r="H120">
        <v>20</v>
      </c>
      <c r="I120">
        <v>4</v>
      </c>
      <c r="J120">
        <v>5</v>
      </c>
      <c r="K120" t="s">
        <v>223</v>
      </c>
    </row>
    <row r="121" spans="1:11" x14ac:dyDescent="0.25">
      <c r="A121">
        <v>120</v>
      </c>
      <c r="B121" t="s">
        <v>129</v>
      </c>
      <c r="C121" t="s">
        <v>214</v>
      </c>
      <c r="D121" t="s">
        <v>220</v>
      </c>
      <c r="E121">
        <v>50</v>
      </c>
      <c r="F121" t="s">
        <v>222</v>
      </c>
      <c r="G121">
        <v>5000</v>
      </c>
      <c r="H121">
        <v>7</v>
      </c>
      <c r="I121">
        <v>5</v>
      </c>
      <c r="J121">
        <v>0</v>
      </c>
      <c r="K121" t="s">
        <v>223</v>
      </c>
    </row>
    <row r="122" spans="1:11" x14ac:dyDescent="0.25">
      <c r="A122">
        <v>121</v>
      </c>
      <c r="B122" t="s">
        <v>130</v>
      </c>
      <c r="C122" t="s">
        <v>210</v>
      </c>
      <c r="D122" t="s">
        <v>216</v>
      </c>
      <c r="E122">
        <v>38</v>
      </c>
      <c r="F122" t="s">
        <v>222</v>
      </c>
      <c r="G122">
        <v>4000</v>
      </c>
      <c r="H122">
        <v>17</v>
      </c>
      <c r="I122">
        <v>5</v>
      </c>
      <c r="J122">
        <v>0</v>
      </c>
      <c r="K122" t="s">
        <v>223</v>
      </c>
    </row>
    <row r="123" spans="1:11" x14ac:dyDescent="0.25">
      <c r="A123">
        <v>122</v>
      </c>
      <c r="B123" t="s">
        <v>131</v>
      </c>
      <c r="C123" t="s">
        <v>215</v>
      </c>
      <c r="D123" t="s">
        <v>217</v>
      </c>
      <c r="E123">
        <v>49</v>
      </c>
      <c r="F123" t="s">
        <v>222</v>
      </c>
      <c r="G123">
        <v>3900</v>
      </c>
      <c r="H123">
        <v>0</v>
      </c>
      <c r="I123">
        <v>4</v>
      </c>
      <c r="J123">
        <v>4</v>
      </c>
      <c r="K123" t="s">
        <v>223</v>
      </c>
    </row>
    <row r="124" spans="1:11" x14ac:dyDescent="0.25">
      <c r="A124">
        <v>123</v>
      </c>
      <c r="B124" t="s">
        <v>132</v>
      </c>
      <c r="C124" t="s">
        <v>210</v>
      </c>
      <c r="D124" t="s">
        <v>217</v>
      </c>
      <c r="E124">
        <v>29</v>
      </c>
      <c r="F124" t="s">
        <v>221</v>
      </c>
      <c r="G124">
        <v>4000</v>
      </c>
      <c r="H124">
        <v>13</v>
      </c>
      <c r="I124">
        <v>4</v>
      </c>
      <c r="J124">
        <v>0</v>
      </c>
      <c r="K124" t="s">
        <v>223</v>
      </c>
    </row>
    <row r="125" spans="1:11" x14ac:dyDescent="0.25">
      <c r="A125">
        <v>124</v>
      </c>
      <c r="B125" t="s">
        <v>133</v>
      </c>
      <c r="C125" t="s">
        <v>211</v>
      </c>
      <c r="D125" t="s">
        <v>216</v>
      </c>
      <c r="E125">
        <v>59</v>
      </c>
      <c r="F125" t="s">
        <v>222</v>
      </c>
      <c r="G125">
        <v>1900</v>
      </c>
      <c r="H125">
        <v>19</v>
      </c>
      <c r="I125">
        <v>4</v>
      </c>
      <c r="J125">
        <v>3</v>
      </c>
      <c r="K125" t="s">
        <v>223</v>
      </c>
    </row>
    <row r="126" spans="1:11" x14ac:dyDescent="0.25">
      <c r="A126">
        <v>125</v>
      </c>
      <c r="B126" t="s">
        <v>134</v>
      </c>
      <c r="C126" t="s">
        <v>214</v>
      </c>
      <c r="D126" t="s">
        <v>217</v>
      </c>
      <c r="E126">
        <v>45</v>
      </c>
      <c r="F126" t="s">
        <v>221</v>
      </c>
      <c r="G126">
        <v>3000</v>
      </c>
      <c r="H126">
        <v>1</v>
      </c>
      <c r="I126">
        <v>1</v>
      </c>
      <c r="J126">
        <v>1</v>
      </c>
      <c r="K126" t="s">
        <v>223</v>
      </c>
    </row>
    <row r="127" spans="1:11" x14ac:dyDescent="0.25">
      <c r="A127">
        <v>126</v>
      </c>
      <c r="B127" t="s">
        <v>135</v>
      </c>
      <c r="C127" t="s">
        <v>210</v>
      </c>
      <c r="D127" t="s">
        <v>218</v>
      </c>
      <c r="E127">
        <v>33</v>
      </c>
      <c r="F127" t="s">
        <v>221</v>
      </c>
      <c r="G127">
        <v>5800</v>
      </c>
      <c r="H127">
        <v>11</v>
      </c>
      <c r="I127">
        <v>1</v>
      </c>
      <c r="J127">
        <v>0</v>
      </c>
      <c r="K127" t="s">
        <v>223</v>
      </c>
    </row>
    <row r="128" spans="1:11" x14ac:dyDescent="0.25">
      <c r="A128">
        <v>127</v>
      </c>
      <c r="B128" t="s">
        <v>136</v>
      </c>
      <c r="C128" t="s">
        <v>214</v>
      </c>
      <c r="D128" t="s">
        <v>217</v>
      </c>
      <c r="E128">
        <v>47</v>
      </c>
      <c r="F128" t="s">
        <v>222</v>
      </c>
      <c r="G128">
        <v>3905</v>
      </c>
      <c r="H128">
        <v>15</v>
      </c>
      <c r="I128">
        <v>4</v>
      </c>
      <c r="J128">
        <v>5</v>
      </c>
      <c r="K128" t="s">
        <v>223</v>
      </c>
    </row>
    <row r="129" spans="1:11" x14ac:dyDescent="0.25">
      <c r="A129">
        <v>128</v>
      </c>
      <c r="B129" t="s">
        <v>137</v>
      </c>
      <c r="C129" t="s">
        <v>212</v>
      </c>
      <c r="D129" t="s">
        <v>217</v>
      </c>
      <c r="E129">
        <v>57</v>
      </c>
      <c r="F129" t="s">
        <v>221</v>
      </c>
      <c r="G129">
        <v>3000</v>
      </c>
      <c r="H129">
        <v>17</v>
      </c>
      <c r="I129">
        <v>3</v>
      </c>
      <c r="J129">
        <v>5</v>
      </c>
      <c r="K129" t="s">
        <v>223</v>
      </c>
    </row>
    <row r="130" spans="1:11" x14ac:dyDescent="0.25">
      <c r="A130">
        <v>129</v>
      </c>
      <c r="B130" t="s">
        <v>138</v>
      </c>
      <c r="C130" t="s">
        <v>210</v>
      </c>
      <c r="D130" t="s">
        <v>217</v>
      </c>
      <c r="E130">
        <v>31</v>
      </c>
      <c r="F130" t="s">
        <v>221</v>
      </c>
      <c r="G130">
        <v>3631</v>
      </c>
      <c r="H130">
        <v>12</v>
      </c>
      <c r="I130">
        <v>2</v>
      </c>
      <c r="J130">
        <v>3</v>
      </c>
      <c r="K130" t="s">
        <v>223</v>
      </c>
    </row>
    <row r="131" spans="1:11" x14ac:dyDescent="0.25">
      <c r="A131">
        <v>130</v>
      </c>
      <c r="B131" t="s">
        <v>139</v>
      </c>
      <c r="C131" t="s">
        <v>210</v>
      </c>
      <c r="D131" t="s">
        <v>220</v>
      </c>
      <c r="E131">
        <v>27</v>
      </c>
      <c r="F131" t="s">
        <v>221</v>
      </c>
      <c r="G131">
        <v>8200</v>
      </c>
      <c r="H131">
        <v>8</v>
      </c>
      <c r="I131">
        <v>5</v>
      </c>
      <c r="J131">
        <v>1</v>
      </c>
      <c r="K131" t="s">
        <v>223</v>
      </c>
    </row>
    <row r="132" spans="1:11" x14ac:dyDescent="0.25">
      <c r="A132">
        <v>131</v>
      </c>
      <c r="B132" t="s">
        <v>140</v>
      </c>
      <c r="C132" t="s">
        <v>210</v>
      </c>
      <c r="D132" t="s">
        <v>216</v>
      </c>
      <c r="E132">
        <v>39</v>
      </c>
      <c r="F132" t="s">
        <v>221</v>
      </c>
      <c r="G132">
        <v>3626</v>
      </c>
      <c r="H132">
        <v>20</v>
      </c>
      <c r="I132">
        <v>4</v>
      </c>
      <c r="J132">
        <v>5</v>
      </c>
      <c r="K132" t="s">
        <v>223</v>
      </c>
    </row>
    <row r="133" spans="1:11" x14ac:dyDescent="0.25">
      <c r="A133">
        <v>132</v>
      </c>
      <c r="B133" t="s">
        <v>141</v>
      </c>
      <c r="C133" t="s">
        <v>213</v>
      </c>
      <c r="D133" t="s">
        <v>219</v>
      </c>
      <c r="E133">
        <v>33</v>
      </c>
      <c r="F133" t="s">
        <v>221</v>
      </c>
      <c r="G133">
        <v>11500</v>
      </c>
      <c r="H133">
        <v>12</v>
      </c>
      <c r="I133">
        <v>4</v>
      </c>
      <c r="J133">
        <v>1</v>
      </c>
      <c r="K133" t="s">
        <v>223</v>
      </c>
    </row>
    <row r="134" spans="1:11" x14ac:dyDescent="0.25">
      <c r="A134">
        <v>133</v>
      </c>
      <c r="B134" t="s">
        <v>142</v>
      </c>
      <c r="C134" t="s">
        <v>215</v>
      </c>
      <c r="D134" t="s">
        <v>217</v>
      </c>
      <c r="E134">
        <v>43</v>
      </c>
      <c r="F134" t="s">
        <v>222</v>
      </c>
      <c r="G134">
        <v>5000</v>
      </c>
      <c r="H134">
        <v>15</v>
      </c>
      <c r="I134">
        <v>1</v>
      </c>
      <c r="J134">
        <v>2</v>
      </c>
      <c r="K134" t="s">
        <v>223</v>
      </c>
    </row>
    <row r="135" spans="1:11" x14ac:dyDescent="0.25">
      <c r="A135">
        <v>134</v>
      </c>
      <c r="B135" t="s">
        <v>143</v>
      </c>
      <c r="C135" t="s">
        <v>215</v>
      </c>
      <c r="D135" t="s">
        <v>217</v>
      </c>
      <c r="E135">
        <v>51</v>
      </c>
      <c r="F135" t="s">
        <v>222</v>
      </c>
      <c r="G135">
        <v>5610</v>
      </c>
      <c r="H135">
        <v>20</v>
      </c>
      <c r="I135">
        <v>2</v>
      </c>
      <c r="J135">
        <v>3</v>
      </c>
      <c r="K135" t="s">
        <v>223</v>
      </c>
    </row>
    <row r="136" spans="1:11" x14ac:dyDescent="0.25">
      <c r="A136">
        <v>135</v>
      </c>
      <c r="B136" t="s">
        <v>144</v>
      </c>
      <c r="C136" t="s">
        <v>211</v>
      </c>
      <c r="D136" t="s">
        <v>217</v>
      </c>
      <c r="E136">
        <v>28</v>
      </c>
      <c r="F136" t="s">
        <v>221</v>
      </c>
      <c r="G136">
        <v>4100</v>
      </c>
      <c r="H136">
        <v>20</v>
      </c>
      <c r="I136">
        <v>5</v>
      </c>
      <c r="J136">
        <v>0</v>
      </c>
      <c r="K136" t="s">
        <v>223</v>
      </c>
    </row>
    <row r="137" spans="1:11" x14ac:dyDescent="0.25">
      <c r="A137">
        <v>136</v>
      </c>
      <c r="B137" t="s">
        <v>145</v>
      </c>
      <c r="C137" t="s">
        <v>212</v>
      </c>
      <c r="D137" t="s">
        <v>216</v>
      </c>
      <c r="E137">
        <v>25</v>
      </c>
      <c r="F137" t="s">
        <v>222</v>
      </c>
      <c r="G137">
        <v>4438</v>
      </c>
      <c r="H137">
        <v>6</v>
      </c>
      <c r="I137">
        <v>4</v>
      </c>
      <c r="J137">
        <v>4</v>
      </c>
      <c r="K137" t="s">
        <v>223</v>
      </c>
    </row>
    <row r="138" spans="1:11" x14ac:dyDescent="0.25">
      <c r="A138">
        <v>137</v>
      </c>
      <c r="B138" t="s">
        <v>146</v>
      </c>
      <c r="C138" t="s">
        <v>211</v>
      </c>
      <c r="D138" t="s">
        <v>219</v>
      </c>
      <c r="E138">
        <v>56</v>
      </c>
      <c r="F138" t="s">
        <v>221</v>
      </c>
      <c r="G138">
        <v>9200</v>
      </c>
      <c r="H138">
        <v>15</v>
      </c>
      <c r="I138">
        <v>4</v>
      </c>
      <c r="J138">
        <v>4</v>
      </c>
      <c r="K138" t="s">
        <v>224</v>
      </c>
    </row>
    <row r="139" spans="1:11" x14ac:dyDescent="0.25">
      <c r="A139">
        <v>138</v>
      </c>
      <c r="B139" t="s">
        <v>147</v>
      </c>
      <c r="C139" t="s">
        <v>212</v>
      </c>
      <c r="D139" t="s">
        <v>218</v>
      </c>
      <c r="E139">
        <v>41</v>
      </c>
      <c r="F139" t="s">
        <v>221</v>
      </c>
      <c r="G139">
        <v>7000</v>
      </c>
      <c r="H139">
        <v>13</v>
      </c>
      <c r="I139">
        <v>2</v>
      </c>
      <c r="J139">
        <v>5</v>
      </c>
      <c r="K139" t="s">
        <v>224</v>
      </c>
    </row>
    <row r="140" spans="1:11" x14ac:dyDescent="0.25">
      <c r="A140">
        <v>139</v>
      </c>
      <c r="B140" t="s">
        <v>148</v>
      </c>
      <c r="C140" t="s">
        <v>212</v>
      </c>
      <c r="D140" t="s">
        <v>220</v>
      </c>
      <c r="E140">
        <v>36</v>
      </c>
      <c r="F140" t="s">
        <v>222</v>
      </c>
      <c r="G140">
        <v>5880</v>
      </c>
      <c r="H140">
        <v>6</v>
      </c>
      <c r="I140">
        <v>5</v>
      </c>
      <c r="J140">
        <v>4</v>
      </c>
      <c r="K140" t="s">
        <v>224</v>
      </c>
    </row>
    <row r="141" spans="1:11" x14ac:dyDescent="0.25">
      <c r="A141">
        <v>140</v>
      </c>
      <c r="B141" t="s">
        <v>149</v>
      </c>
      <c r="C141" t="s">
        <v>212</v>
      </c>
      <c r="D141" t="s">
        <v>220</v>
      </c>
      <c r="E141">
        <v>46</v>
      </c>
      <c r="F141" t="s">
        <v>221</v>
      </c>
      <c r="G141">
        <v>4925</v>
      </c>
      <c r="H141">
        <v>10</v>
      </c>
      <c r="I141">
        <v>3</v>
      </c>
      <c r="J141">
        <v>5</v>
      </c>
      <c r="K141" t="s">
        <v>223</v>
      </c>
    </row>
    <row r="142" spans="1:11" x14ac:dyDescent="0.25">
      <c r="A142">
        <v>141</v>
      </c>
      <c r="B142" t="s">
        <v>150</v>
      </c>
      <c r="C142" t="s">
        <v>211</v>
      </c>
      <c r="D142" t="s">
        <v>220</v>
      </c>
      <c r="E142">
        <v>22</v>
      </c>
      <c r="F142" t="s">
        <v>221</v>
      </c>
      <c r="G142">
        <v>5589</v>
      </c>
      <c r="H142">
        <v>4</v>
      </c>
      <c r="I142">
        <v>1</v>
      </c>
      <c r="J142">
        <v>0</v>
      </c>
      <c r="K142" t="s">
        <v>224</v>
      </c>
    </row>
    <row r="143" spans="1:11" x14ac:dyDescent="0.25">
      <c r="A143">
        <v>142</v>
      </c>
      <c r="B143" t="s">
        <v>151</v>
      </c>
      <c r="C143" t="s">
        <v>213</v>
      </c>
      <c r="D143" t="s">
        <v>220</v>
      </c>
      <c r="E143">
        <v>24</v>
      </c>
      <c r="F143" t="s">
        <v>221</v>
      </c>
      <c r="G143">
        <v>8000</v>
      </c>
      <c r="H143">
        <v>12</v>
      </c>
      <c r="I143">
        <v>2</v>
      </c>
      <c r="J143">
        <v>3</v>
      </c>
      <c r="K143" t="s">
        <v>224</v>
      </c>
    </row>
    <row r="144" spans="1:11" x14ac:dyDescent="0.25">
      <c r="A144">
        <v>143</v>
      </c>
      <c r="B144" t="s">
        <v>152</v>
      </c>
      <c r="C144" t="s">
        <v>215</v>
      </c>
      <c r="D144" t="s">
        <v>219</v>
      </c>
      <c r="E144">
        <v>42</v>
      </c>
      <c r="F144" t="s">
        <v>221</v>
      </c>
      <c r="G144">
        <v>13000</v>
      </c>
      <c r="H144">
        <v>6</v>
      </c>
      <c r="I144">
        <v>4</v>
      </c>
      <c r="J144">
        <v>0</v>
      </c>
      <c r="K144" t="s">
        <v>223</v>
      </c>
    </row>
    <row r="145" spans="1:11" x14ac:dyDescent="0.25">
      <c r="A145">
        <v>144</v>
      </c>
      <c r="B145" t="s">
        <v>153</v>
      </c>
      <c r="C145" t="s">
        <v>212</v>
      </c>
      <c r="D145" t="s">
        <v>220</v>
      </c>
      <c r="E145">
        <v>48</v>
      </c>
      <c r="F145" t="s">
        <v>221</v>
      </c>
      <c r="G145">
        <v>5200</v>
      </c>
      <c r="H145">
        <v>9</v>
      </c>
      <c r="I145">
        <v>4</v>
      </c>
      <c r="J145">
        <v>5</v>
      </c>
      <c r="K145" t="s">
        <v>224</v>
      </c>
    </row>
    <row r="146" spans="1:11" x14ac:dyDescent="0.25">
      <c r="A146">
        <v>145</v>
      </c>
      <c r="B146" t="s">
        <v>154</v>
      </c>
      <c r="C146" t="s">
        <v>212</v>
      </c>
      <c r="D146" t="s">
        <v>220</v>
      </c>
      <c r="E146">
        <v>26</v>
      </c>
      <c r="F146" t="s">
        <v>221</v>
      </c>
      <c r="G146">
        <v>8327</v>
      </c>
      <c r="H146">
        <v>20</v>
      </c>
      <c r="I146">
        <v>3</v>
      </c>
      <c r="J146">
        <v>3</v>
      </c>
      <c r="K146" t="s">
        <v>223</v>
      </c>
    </row>
    <row r="147" spans="1:11" x14ac:dyDescent="0.25">
      <c r="A147">
        <v>146</v>
      </c>
      <c r="B147" t="s">
        <v>155</v>
      </c>
      <c r="C147" t="s">
        <v>215</v>
      </c>
      <c r="D147" t="s">
        <v>217</v>
      </c>
      <c r="E147">
        <v>48</v>
      </c>
      <c r="F147" t="s">
        <v>222</v>
      </c>
      <c r="G147">
        <v>3096</v>
      </c>
      <c r="H147">
        <v>8</v>
      </c>
      <c r="I147">
        <v>3</v>
      </c>
      <c r="J147">
        <v>1</v>
      </c>
      <c r="K147" t="s">
        <v>224</v>
      </c>
    </row>
    <row r="148" spans="1:11" x14ac:dyDescent="0.25">
      <c r="A148">
        <v>147</v>
      </c>
      <c r="B148" t="s">
        <v>156</v>
      </c>
      <c r="C148" t="s">
        <v>210</v>
      </c>
      <c r="D148" t="s">
        <v>216</v>
      </c>
      <c r="E148">
        <v>40</v>
      </c>
      <c r="F148" t="s">
        <v>221</v>
      </c>
      <c r="G148">
        <v>4017</v>
      </c>
      <c r="H148">
        <v>1</v>
      </c>
      <c r="I148">
        <v>3</v>
      </c>
      <c r="J148">
        <v>4</v>
      </c>
      <c r="K148" t="s">
        <v>223</v>
      </c>
    </row>
    <row r="149" spans="1:11" x14ac:dyDescent="0.25">
      <c r="A149">
        <v>148</v>
      </c>
      <c r="B149" t="s">
        <v>157</v>
      </c>
      <c r="C149" t="s">
        <v>210</v>
      </c>
      <c r="D149" t="s">
        <v>219</v>
      </c>
      <c r="E149">
        <v>43</v>
      </c>
      <c r="F149" t="s">
        <v>222</v>
      </c>
      <c r="G149">
        <v>14000</v>
      </c>
      <c r="H149">
        <v>10</v>
      </c>
      <c r="I149">
        <v>3</v>
      </c>
      <c r="J149">
        <v>4</v>
      </c>
      <c r="K149" t="s">
        <v>223</v>
      </c>
    </row>
    <row r="150" spans="1:11" x14ac:dyDescent="0.25">
      <c r="A150">
        <v>149</v>
      </c>
      <c r="B150" t="s">
        <v>158</v>
      </c>
      <c r="C150" t="s">
        <v>211</v>
      </c>
      <c r="D150" t="s">
        <v>216</v>
      </c>
      <c r="E150">
        <v>44</v>
      </c>
      <c r="F150" t="s">
        <v>221</v>
      </c>
      <c r="G150">
        <v>4392</v>
      </c>
      <c r="H150">
        <v>9</v>
      </c>
      <c r="I150">
        <v>5</v>
      </c>
      <c r="J150">
        <v>3</v>
      </c>
      <c r="K150" t="s">
        <v>223</v>
      </c>
    </row>
    <row r="151" spans="1:11" x14ac:dyDescent="0.25">
      <c r="A151">
        <v>150</v>
      </c>
      <c r="B151" t="s">
        <v>159</v>
      </c>
      <c r="C151" t="s">
        <v>210</v>
      </c>
      <c r="D151" t="s">
        <v>218</v>
      </c>
      <c r="E151">
        <v>24</v>
      </c>
      <c r="F151" t="s">
        <v>222</v>
      </c>
      <c r="G151">
        <v>5900</v>
      </c>
      <c r="H151">
        <v>5</v>
      </c>
      <c r="I151">
        <v>4</v>
      </c>
      <c r="J151">
        <v>4</v>
      </c>
      <c r="K151" t="s">
        <v>223</v>
      </c>
    </row>
    <row r="152" spans="1:11" x14ac:dyDescent="0.25">
      <c r="A152">
        <v>151</v>
      </c>
      <c r="B152" t="s">
        <v>160</v>
      </c>
      <c r="C152" t="s">
        <v>212</v>
      </c>
      <c r="D152" t="s">
        <v>217</v>
      </c>
      <c r="E152">
        <v>35</v>
      </c>
      <c r="F152" t="s">
        <v>222</v>
      </c>
      <c r="G152">
        <v>2800</v>
      </c>
      <c r="H152">
        <v>0</v>
      </c>
      <c r="I152">
        <v>5</v>
      </c>
      <c r="J152">
        <v>1</v>
      </c>
      <c r="K152" t="s">
        <v>223</v>
      </c>
    </row>
    <row r="153" spans="1:11" x14ac:dyDescent="0.25">
      <c r="A153">
        <v>152</v>
      </c>
      <c r="B153" t="s">
        <v>161</v>
      </c>
      <c r="C153" t="s">
        <v>214</v>
      </c>
      <c r="D153" t="s">
        <v>220</v>
      </c>
      <c r="E153">
        <v>55</v>
      </c>
      <c r="F153" t="s">
        <v>221</v>
      </c>
      <c r="G153">
        <v>5767</v>
      </c>
      <c r="H153">
        <v>5</v>
      </c>
      <c r="I153">
        <v>4</v>
      </c>
      <c r="J153">
        <v>2</v>
      </c>
      <c r="K153" t="s">
        <v>223</v>
      </c>
    </row>
    <row r="154" spans="1:11" x14ac:dyDescent="0.25">
      <c r="A154">
        <v>153</v>
      </c>
      <c r="B154" t="s">
        <v>162</v>
      </c>
      <c r="C154" t="s">
        <v>214</v>
      </c>
      <c r="D154" t="s">
        <v>217</v>
      </c>
      <c r="E154">
        <v>31</v>
      </c>
      <c r="F154" t="s">
        <v>222</v>
      </c>
      <c r="G154">
        <v>3691</v>
      </c>
      <c r="H154">
        <v>15</v>
      </c>
      <c r="I154">
        <v>3</v>
      </c>
      <c r="J154">
        <v>5</v>
      </c>
      <c r="K154" t="s">
        <v>224</v>
      </c>
    </row>
    <row r="155" spans="1:11" x14ac:dyDescent="0.25">
      <c r="A155">
        <v>154</v>
      </c>
      <c r="B155" t="s">
        <v>163</v>
      </c>
      <c r="C155" t="s">
        <v>213</v>
      </c>
      <c r="D155" t="s">
        <v>219</v>
      </c>
      <c r="E155">
        <v>51</v>
      </c>
      <c r="F155" t="s">
        <v>221</v>
      </c>
      <c r="G155">
        <v>12300</v>
      </c>
      <c r="H155">
        <v>18</v>
      </c>
      <c r="I155">
        <v>3</v>
      </c>
      <c r="J155">
        <v>4</v>
      </c>
      <c r="K155" t="s">
        <v>224</v>
      </c>
    </row>
    <row r="156" spans="1:11" x14ac:dyDescent="0.25">
      <c r="A156">
        <v>155</v>
      </c>
      <c r="B156" t="s">
        <v>164</v>
      </c>
      <c r="C156" t="s">
        <v>212</v>
      </c>
      <c r="D156" t="s">
        <v>216</v>
      </c>
      <c r="E156">
        <v>27</v>
      </c>
      <c r="F156" t="s">
        <v>222</v>
      </c>
      <c r="G156">
        <v>2000</v>
      </c>
      <c r="H156">
        <v>5</v>
      </c>
      <c r="I156">
        <v>1</v>
      </c>
      <c r="J156">
        <v>4</v>
      </c>
      <c r="K156" t="s">
        <v>224</v>
      </c>
    </row>
    <row r="157" spans="1:11" x14ac:dyDescent="0.25">
      <c r="A157">
        <v>156</v>
      </c>
      <c r="B157" t="s">
        <v>165</v>
      </c>
      <c r="C157" t="s">
        <v>213</v>
      </c>
      <c r="D157" t="s">
        <v>216</v>
      </c>
      <c r="E157">
        <v>39</v>
      </c>
      <c r="F157" t="s">
        <v>222</v>
      </c>
      <c r="G157">
        <v>3000</v>
      </c>
      <c r="H157">
        <v>5</v>
      </c>
      <c r="I157">
        <v>3</v>
      </c>
      <c r="J157">
        <v>1</v>
      </c>
      <c r="K157" t="s">
        <v>224</v>
      </c>
    </row>
    <row r="158" spans="1:11" x14ac:dyDescent="0.25">
      <c r="A158">
        <v>157</v>
      </c>
      <c r="B158" t="s">
        <v>166</v>
      </c>
      <c r="C158" t="s">
        <v>214</v>
      </c>
      <c r="D158" t="s">
        <v>216</v>
      </c>
      <c r="E158">
        <v>53</v>
      </c>
      <c r="F158" t="s">
        <v>222</v>
      </c>
      <c r="G158">
        <v>2000</v>
      </c>
      <c r="H158">
        <v>2</v>
      </c>
      <c r="I158">
        <v>5</v>
      </c>
      <c r="J158">
        <v>2</v>
      </c>
      <c r="K158" t="s">
        <v>223</v>
      </c>
    </row>
    <row r="159" spans="1:11" x14ac:dyDescent="0.25">
      <c r="A159">
        <v>158</v>
      </c>
      <c r="B159" t="s">
        <v>167</v>
      </c>
      <c r="C159" t="s">
        <v>210</v>
      </c>
      <c r="D159" t="s">
        <v>219</v>
      </c>
      <c r="E159">
        <v>57</v>
      </c>
      <c r="F159" t="s">
        <v>221</v>
      </c>
      <c r="G159">
        <v>17000</v>
      </c>
      <c r="H159">
        <v>6</v>
      </c>
      <c r="I159">
        <v>3</v>
      </c>
      <c r="J159">
        <v>1</v>
      </c>
      <c r="K159" t="s">
        <v>223</v>
      </c>
    </row>
    <row r="160" spans="1:11" x14ac:dyDescent="0.25">
      <c r="A160">
        <v>159</v>
      </c>
      <c r="B160" t="s">
        <v>168</v>
      </c>
      <c r="C160" t="s">
        <v>212</v>
      </c>
      <c r="D160" t="s">
        <v>216</v>
      </c>
      <c r="E160">
        <v>54</v>
      </c>
      <c r="F160" t="s">
        <v>222</v>
      </c>
      <c r="G160">
        <v>1900</v>
      </c>
      <c r="H160">
        <v>0</v>
      </c>
      <c r="I160">
        <v>5</v>
      </c>
      <c r="J160">
        <v>0</v>
      </c>
      <c r="K160" t="s">
        <v>224</v>
      </c>
    </row>
    <row r="161" spans="1:11" x14ac:dyDescent="0.25">
      <c r="A161">
        <v>160</v>
      </c>
      <c r="B161" t="s">
        <v>169</v>
      </c>
      <c r="C161" t="s">
        <v>211</v>
      </c>
      <c r="D161" t="s">
        <v>218</v>
      </c>
      <c r="E161">
        <v>30</v>
      </c>
      <c r="F161" t="s">
        <v>221</v>
      </c>
      <c r="G161">
        <v>5000</v>
      </c>
      <c r="H161">
        <v>5</v>
      </c>
      <c r="I161">
        <v>3</v>
      </c>
      <c r="J161">
        <v>0</v>
      </c>
      <c r="K161" t="s">
        <v>223</v>
      </c>
    </row>
    <row r="162" spans="1:11" x14ac:dyDescent="0.25">
      <c r="A162">
        <v>161</v>
      </c>
      <c r="B162" t="s">
        <v>170</v>
      </c>
      <c r="C162" t="s">
        <v>213</v>
      </c>
      <c r="D162" t="s">
        <v>217</v>
      </c>
      <c r="E162">
        <v>22</v>
      </c>
      <c r="F162" t="s">
        <v>222</v>
      </c>
      <c r="G162">
        <v>7206</v>
      </c>
      <c r="H162">
        <v>13</v>
      </c>
      <c r="I162">
        <v>1</v>
      </c>
      <c r="J162">
        <v>0</v>
      </c>
      <c r="K162" t="s">
        <v>224</v>
      </c>
    </row>
    <row r="163" spans="1:11" x14ac:dyDescent="0.25">
      <c r="A163">
        <v>162</v>
      </c>
      <c r="B163" t="s">
        <v>171</v>
      </c>
      <c r="C163" t="s">
        <v>210</v>
      </c>
      <c r="D163" t="s">
        <v>218</v>
      </c>
      <c r="E163">
        <v>48</v>
      </c>
      <c r="F163" t="s">
        <v>221</v>
      </c>
      <c r="G163">
        <v>7462</v>
      </c>
      <c r="H163">
        <v>19</v>
      </c>
      <c r="I163">
        <v>4</v>
      </c>
      <c r="J163">
        <v>0</v>
      </c>
      <c r="K163" t="s">
        <v>223</v>
      </c>
    </row>
    <row r="164" spans="1:11" x14ac:dyDescent="0.25">
      <c r="A164">
        <v>163</v>
      </c>
      <c r="B164" t="s">
        <v>172</v>
      </c>
      <c r="C164" t="s">
        <v>210</v>
      </c>
      <c r="D164" t="s">
        <v>218</v>
      </c>
      <c r="E164">
        <v>40</v>
      </c>
      <c r="F164" t="s">
        <v>222</v>
      </c>
      <c r="G164">
        <v>6000</v>
      </c>
      <c r="H164">
        <v>4</v>
      </c>
      <c r="I164">
        <v>3</v>
      </c>
      <c r="J164">
        <v>0</v>
      </c>
      <c r="K164" t="s">
        <v>223</v>
      </c>
    </row>
    <row r="165" spans="1:11" x14ac:dyDescent="0.25">
      <c r="A165">
        <v>164</v>
      </c>
      <c r="B165" t="s">
        <v>173</v>
      </c>
      <c r="C165" t="s">
        <v>210</v>
      </c>
      <c r="D165" t="s">
        <v>216</v>
      </c>
      <c r="E165">
        <v>50</v>
      </c>
      <c r="F165" t="s">
        <v>222</v>
      </c>
      <c r="G165">
        <v>3800</v>
      </c>
      <c r="H165">
        <v>3</v>
      </c>
      <c r="I165">
        <v>3</v>
      </c>
      <c r="J165">
        <v>1</v>
      </c>
      <c r="K165" t="s">
        <v>224</v>
      </c>
    </row>
    <row r="166" spans="1:11" x14ac:dyDescent="0.25">
      <c r="A166">
        <v>165</v>
      </c>
      <c r="B166" t="s">
        <v>174</v>
      </c>
      <c r="C166" t="s">
        <v>210</v>
      </c>
      <c r="D166" t="s">
        <v>218</v>
      </c>
      <c r="E166">
        <v>57</v>
      </c>
      <c r="F166" t="s">
        <v>222</v>
      </c>
      <c r="G166">
        <v>6300</v>
      </c>
      <c r="H166">
        <v>2</v>
      </c>
      <c r="I166">
        <v>1</v>
      </c>
      <c r="J166">
        <v>2</v>
      </c>
      <c r="K166" t="s">
        <v>223</v>
      </c>
    </row>
    <row r="167" spans="1:11" x14ac:dyDescent="0.25">
      <c r="A167">
        <v>166</v>
      </c>
      <c r="B167" t="s">
        <v>175</v>
      </c>
      <c r="C167" t="s">
        <v>213</v>
      </c>
      <c r="D167" t="s">
        <v>218</v>
      </c>
      <c r="E167">
        <v>57</v>
      </c>
      <c r="F167" t="s">
        <v>221</v>
      </c>
      <c r="G167">
        <v>5000</v>
      </c>
      <c r="H167">
        <v>16</v>
      </c>
      <c r="I167">
        <v>2</v>
      </c>
      <c r="J167">
        <v>3</v>
      </c>
      <c r="K167" t="s">
        <v>224</v>
      </c>
    </row>
    <row r="168" spans="1:11" x14ac:dyDescent="0.25">
      <c r="A168">
        <v>167</v>
      </c>
      <c r="B168" t="s">
        <v>176</v>
      </c>
      <c r="C168" t="s">
        <v>212</v>
      </c>
      <c r="D168" t="s">
        <v>217</v>
      </c>
      <c r="E168">
        <v>60</v>
      </c>
      <c r="F168" t="s">
        <v>222</v>
      </c>
      <c r="G168">
        <v>3000</v>
      </c>
      <c r="H168">
        <v>19</v>
      </c>
      <c r="I168">
        <v>5</v>
      </c>
      <c r="J168">
        <v>0</v>
      </c>
      <c r="K168" t="s">
        <v>224</v>
      </c>
    </row>
    <row r="169" spans="1:11" x14ac:dyDescent="0.25">
      <c r="A169">
        <v>168</v>
      </c>
      <c r="B169" t="s">
        <v>177</v>
      </c>
      <c r="C169" t="s">
        <v>213</v>
      </c>
      <c r="D169" t="s">
        <v>218</v>
      </c>
      <c r="E169">
        <v>52</v>
      </c>
      <c r="F169" t="s">
        <v>221</v>
      </c>
      <c r="G169">
        <v>5000</v>
      </c>
      <c r="H169">
        <v>14</v>
      </c>
      <c r="I169">
        <v>2</v>
      </c>
      <c r="J169">
        <v>5</v>
      </c>
      <c r="K169" t="s">
        <v>224</v>
      </c>
    </row>
    <row r="170" spans="1:11" x14ac:dyDescent="0.25">
      <c r="A170">
        <v>169</v>
      </c>
      <c r="B170" t="s">
        <v>178</v>
      </c>
      <c r="C170" t="s">
        <v>213</v>
      </c>
      <c r="D170" t="s">
        <v>216</v>
      </c>
      <c r="E170">
        <v>34</v>
      </c>
      <c r="F170" t="s">
        <v>221</v>
      </c>
      <c r="G170">
        <v>4000</v>
      </c>
      <c r="H170">
        <v>11</v>
      </c>
      <c r="I170">
        <v>3</v>
      </c>
      <c r="J170">
        <v>2</v>
      </c>
      <c r="K170" t="s">
        <v>224</v>
      </c>
    </row>
    <row r="171" spans="1:11" x14ac:dyDescent="0.25">
      <c r="A171">
        <v>170</v>
      </c>
      <c r="B171" t="s">
        <v>179</v>
      </c>
      <c r="C171" t="s">
        <v>211</v>
      </c>
      <c r="D171" t="s">
        <v>220</v>
      </c>
      <c r="E171">
        <v>39</v>
      </c>
      <c r="F171" t="s">
        <v>221</v>
      </c>
      <c r="G171">
        <v>7135</v>
      </c>
      <c r="H171">
        <v>2</v>
      </c>
      <c r="I171">
        <v>4</v>
      </c>
      <c r="J171">
        <v>2</v>
      </c>
      <c r="K171" t="s">
        <v>223</v>
      </c>
    </row>
    <row r="172" spans="1:11" x14ac:dyDescent="0.25">
      <c r="A172">
        <v>171</v>
      </c>
      <c r="B172" t="s">
        <v>180</v>
      </c>
      <c r="C172" t="s">
        <v>214</v>
      </c>
      <c r="D172" t="s">
        <v>217</v>
      </c>
      <c r="E172">
        <v>42</v>
      </c>
      <c r="F172" t="s">
        <v>221</v>
      </c>
      <c r="G172">
        <v>3000</v>
      </c>
      <c r="H172">
        <v>4</v>
      </c>
      <c r="I172">
        <v>1</v>
      </c>
      <c r="J172">
        <v>4</v>
      </c>
      <c r="K172" t="s">
        <v>223</v>
      </c>
    </row>
    <row r="173" spans="1:11" x14ac:dyDescent="0.25">
      <c r="A173">
        <v>172</v>
      </c>
      <c r="B173" t="s">
        <v>181</v>
      </c>
      <c r="C173" t="s">
        <v>214</v>
      </c>
      <c r="D173" t="s">
        <v>219</v>
      </c>
      <c r="E173">
        <v>42</v>
      </c>
      <c r="F173" t="s">
        <v>222</v>
      </c>
      <c r="G173">
        <v>8900</v>
      </c>
      <c r="H173">
        <v>13</v>
      </c>
      <c r="I173">
        <v>5</v>
      </c>
      <c r="J173">
        <v>2</v>
      </c>
      <c r="K173" t="s">
        <v>224</v>
      </c>
    </row>
    <row r="174" spans="1:11" x14ac:dyDescent="0.25">
      <c r="A174">
        <v>173</v>
      </c>
      <c r="B174" t="s">
        <v>182</v>
      </c>
      <c r="C174" t="s">
        <v>212</v>
      </c>
      <c r="D174" t="s">
        <v>219</v>
      </c>
      <c r="E174">
        <v>27</v>
      </c>
      <c r="F174" t="s">
        <v>221</v>
      </c>
      <c r="G174">
        <v>9900</v>
      </c>
      <c r="H174">
        <v>10</v>
      </c>
      <c r="I174">
        <v>5</v>
      </c>
      <c r="J174">
        <v>2</v>
      </c>
      <c r="K174" t="s">
        <v>224</v>
      </c>
    </row>
    <row r="175" spans="1:11" x14ac:dyDescent="0.25">
      <c r="A175">
        <v>174</v>
      </c>
      <c r="B175" t="s">
        <v>183</v>
      </c>
      <c r="C175" t="s">
        <v>215</v>
      </c>
      <c r="D175" t="s">
        <v>217</v>
      </c>
      <c r="E175">
        <v>30</v>
      </c>
      <c r="F175" t="s">
        <v>222</v>
      </c>
      <c r="G175">
        <v>4300</v>
      </c>
      <c r="H175">
        <v>8</v>
      </c>
      <c r="I175">
        <v>3</v>
      </c>
      <c r="J175">
        <v>2</v>
      </c>
      <c r="K175" t="s">
        <v>224</v>
      </c>
    </row>
    <row r="176" spans="1:11" x14ac:dyDescent="0.25">
      <c r="A176">
        <v>175</v>
      </c>
      <c r="B176" t="s">
        <v>184</v>
      </c>
      <c r="C176" t="s">
        <v>210</v>
      </c>
      <c r="D176" t="s">
        <v>220</v>
      </c>
      <c r="E176">
        <v>40</v>
      </c>
      <c r="F176" t="s">
        <v>222</v>
      </c>
      <c r="G176">
        <v>7500</v>
      </c>
      <c r="H176">
        <v>4</v>
      </c>
      <c r="I176">
        <v>5</v>
      </c>
      <c r="J176">
        <v>5</v>
      </c>
      <c r="K176" t="s">
        <v>223</v>
      </c>
    </row>
    <row r="177" spans="1:11" x14ac:dyDescent="0.25">
      <c r="A177">
        <v>176</v>
      </c>
      <c r="B177" t="s">
        <v>185</v>
      </c>
      <c r="C177" t="s">
        <v>211</v>
      </c>
      <c r="D177" t="s">
        <v>216</v>
      </c>
      <c r="E177">
        <v>40</v>
      </c>
      <c r="F177" t="s">
        <v>221</v>
      </c>
      <c r="G177">
        <v>1800</v>
      </c>
      <c r="H177">
        <v>18</v>
      </c>
      <c r="I177">
        <v>5</v>
      </c>
      <c r="J177">
        <v>1</v>
      </c>
      <c r="K177" t="s">
        <v>223</v>
      </c>
    </row>
    <row r="178" spans="1:11" x14ac:dyDescent="0.25">
      <c r="A178">
        <v>177</v>
      </c>
      <c r="B178" t="s">
        <v>186</v>
      </c>
      <c r="C178" t="s">
        <v>211</v>
      </c>
      <c r="D178" t="s">
        <v>220</v>
      </c>
      <c r="E178">
        <v>47</v>
      </c>
      <c r="F178" t="s">
        <v>222</v>
      </c>
      <c r="G178">
        <v>8834</v>
      </c>
      <c r="H178">
        <v>9</v>
      </c>
      <c r="I178">
        <v>2</v>
      </c>
      <c r="J178">
        <v>5</v>
      </c>
      <c r="K178" t="s">
        <v>223</v>
      </c>
    </row>
    <row r="179" spans="1:11" x14ac:dyDescent="0.25">
      <c r="A179">
        <v>178</v>
      </c>
      <c r="B179" t="s">
        <v>187</v>
      </c>
      <c r="C179" t="s">
        <v>213</v>
      </c>
      <c r="D179" t="s">
        <v>217</v>
      </c>
      <c r="E179">
        <v>54</v>
      </c>
      <c r="F179" t="s">
        <v>221</v>
      </c>
      <c r="G179">
        <v>5000</v>
      </c>
      <c r="H179">
        <v>10</v>
      </c>
      <c r="I179">
        <v>4</v>
      </c>
      <c r="J179">
        <v>1</v>
      </c>
      <c r="K179" t="s">
        <v>223</v>
      </c>
    </row>
    <row r="180" spans="1:11" x14ac:dyDescent="0.25">
      <c r="A180">
        <v>179</v>
      </c>
      <c r="B180" t="s">
        <v>188</v>
      </c>
      <c r="C180" t="s">
        <v>213</v>
      </c>
      <c r="D180" t="s">
        <v>220</v>
      </c>
      <c r="E180">
        <v>40</v>
      </c>
      <c r="F180" t="s">
        <v>221</v>
      </c>
      <c r="G180">
        <v>6200</v>
      </c>
      <c r="H180">
        <v>6</v>
      </c>
      <c r="I180">
        <v>4</v>
      </c>
      <c r="J180">
        <v>4</v>
      </c>
      <c r="K180" t="s">
        <v>224</v>
      </c>
    </row>
    <row r="181" spans="1:11" x14ac:dyDescent="0.25">
      <c r="A181">
        <v>180</v>
      </c>
      <c r="B181" t="s">
        <v>189</v>
      </c>
      <c r="C181" t="s">
        <v>213</v>
      </c>
      <c r="D181" t="s">
        <v>220</v>
      </c>
      <c r="E181">
        <v>45</v>
      </c>
      <c r="F181" t="s">
        <v>221</v>
      </c>
      <c r="G181">
        <v>7728</v>
      </c>
      <c r="H181">
        <v>9</v>
      </c>
      <c r="I181">
        <v>5</v>
      </c>
      <c r="J181">
        <v>0</v>
      </c>
      <c r="K181" t="s">
        <v>224</v>
      </c>
    </row>
    <row r="182" spans="1:11" x14ac:dyDescent="0.25">
      <c r="A182">
        <v>181</v>
      </c>
      <c r="B182" t="s">
        <v>190</v>
      </c>
      <c r="C182" t="s">
        <v>212</v>
      </c>
      <c r="D182" t="s">
        <v>219</v>
      </c>
      <c r="E182">
        <v>47</v>
      </c>
      <c r="F182" t="s">
        <v>222</v>
      </c>
      <c r="G182">
        <v>8522</v>
      </c>
      <c r="H182">
        <v>1</v>
      </c>
      <c r="I182">
        <v>4</v>
      </c>
      <c r="J182">
        <v>5</v>
      </c>
      <c r="K182" t="s">
        <v>224</v>
      </c>
    </row>
    <row r="183" spans="1:11" x14ac:dyDescent="0.25">
      <c r="A183">
        <v>182</v>
      </c>
      <c r="B183" t="s">
        <v>191</v>
      </c>
      <c r="C183" t="s">
        <v>212</v>
      </c>
      <c r="D183" t="s">
        <v>219</v>
      </c>
      <c r="E183">
        <v>43</v>
      </c>
      <c r="F183" t="s">
        <v>221</v>
      </c>
      <c r="G183">
        <v>11593</v>
      </c>
      <c r="H183">
        <v>7</v>
      </c>
      <c r="I183">
        <v>2</v>
      </c>
      <c r="J183">
        <v>0</v>
      </c>
      <c r="K183" t="s">
        <v>223</v>
      </c>
    </row>
    <row r="184" spans="1:11" x14ac:dyDescent="0.25">
      <c r="A184">
        <v>183</v>
      </c>
      <c r="B184" t="s">
        <v>192</v>
      </c>
      <c r="C184" t="s">
        <v>211</v>
      </c>
      <c r="D184" t="s">
        <v>217</v>
      </c>
      <c r="E184">
        <v>52</v>
      </c>
      <c r="F184" t="s">
        <v>221</v>
      </c>
      <c r="G184">
        <v>3000</v>
      </c>
      <c r="H184">
        <v>11</v>
      </c>
      <c r="I184">
        <v>5</v>
      </c>
      <c r="J184">
        <v>2</v>
      </c>
      <c r="K184" t="s">
        <v>223</v>
      </c>
    </row>
    <row r="185" spans="1:11" x14ac:dyDescent="0.25">
      <c r="A185">
        <v>184</v>
      </c>
      <c r="B185" t="s">
        <v>193</v>
      </c>
      <c r="C185" t="s">
        <v>213</v>
      </c>
      <c r="D185" t="s">
        <v>219</v>
      </c>
      <c r="E185">
        <v>56</v>
      </c>
      <c r="F185" t="s">
        <v>221</v>
      </c>
      <c r="G185">
        <v>16000</v>
      </c>
      <c r="H185">
        <v>16</v>
      </c>
      <c r="I185">
        <v>1</v>
      </c>
      <c r="J185">
        <v>3</v>
      </c>
      <c r="K185" t="s">
        <v>223</v>
      </c>
    </row>
    <row r="186" spans="1:11" x14ac:dyDescent="0.25">
      <c r="A186">
        <v>185</v>
      </c>
      <c r="B186" t="s">
        <v>194</v>
      </c>
      <c r="C186" t="s">
        <v>212</v>
      </c>
      <c r="D186" t="s">
        <v>216</v>
      </c>
      <c r="E186">
        <v>25</v>
      </c>
      <c r="F186" t="s">
        <v>221</v>
      </c>
      <c r="G186">
        <v>1700</v>
      </c>
      <c r="H186">
        <v>11</v>
      </c>
      <c r="I186">
        <v>1</v>
      </c>
      <c r="J186">
        <v>4</v>
      </c>
      <c r="K186" t="s">
        <v>223</v>
      </c>
    </row>
    <row r="187" spans="1:11" x14ac:dyDescent="0.25">
      <c r="A187">
        <v>186</v>
      </c>
      <c r="B187" t="s">
        <v>195</v>
      </c>
      <c r="C187" t="s">
        <v>211</v>
      </c>
      <c r="D187" t="s">
        <v>219</v>
      </c>
      <c r="E187">
        <v>51</v>
      </c>
      <c r="F187" t="s">
        <v>221</v>
      </c>
      <c r="G187">
        <v>8800</v>
      </c>
      <c r="H187">
        <v>9</v>
      </c>
      <c r="I187">
        <v>3</v>
      </c>
      <c r="J187">
        <v>2</v>
      </c>
      <c r="K187" t="s">
        <v>223</v>
      </c>
    </row>
    <row r="188" spans="1:11" x14ac:dyDescent="0.25">
      <c r="A188">
        <v>187</v>
      </c>
      <c r="B188" t="s">
        <v>196</v>
      </c>
      <c r="C188" t="s">
        <v>214</v>
      </c>
      <c r="D188" t="s">
        <v>216</v>
      </c>
      <c r="E188">
        <v>51</v>
      </c>
      <c r="F188" t="s">
        <v>221</v>
      </c>
      <c r="G188">
        <v>2000</v>
      </c>
      <c r="H188">
        <v>8</v>
      </c>
      <c r="I188">
        <v>5</v>
      </c>
      <c r="J188">
        <v>3</v>
      </c>
      <c r="K188" t="s">
        <v>223</v>
      </c>
    </row>
    <row r="189" spans="1:11" x14ac:dyDescent="0.25">
      <c r="A189">
        <v>188</v>
      </c>
      <c r="B189" t="s">
        <v>197</v>
      </c>
      <c r="C189" t="s">
        <v>211</v>
      </c>
      <c r="D189" t="s">
        <v>217</v>
      </c>
      <c r="E189">
        <v>56</v>
      </c>
      <c r="F189" t="s">
        <v>221</v>
      </c>
      <c r="G189">
        <v>3200</v>
      </c>
      <c r="H189">
        <v>15</v>
      </c>
      <c r="I189">
        <v>2</v>
      </c>
      <c r="J189">
        <v>4</v>
      </c>
      <c r="K189" t="s">
        <v>223</v>
      </c>
    </row>
    <row r="190" spans="1:11" x14ac:dyDescent="0.25">
      <c r="A190">
        <v>189</v>
      </c>
      <c r="B190" t="s">
        <v>198</v>
      </c>
      <c r="C190" t="s">
        <v>210</v>
      </c>
      <c r="D190" t="s">
        <v>216</v>
      </c>
      <c r="E190">
        <v>23</v>
      </c>
      <c r="F190" t="s">
        <v>221</v>
      </c>
      <c r="G190">
        <v>3900</v>
      </c>
      <c r="H190">
        <v>15</v>
      </c>
      <c r="I190">
        <v>4</v>
      </c>
      <c r="J190">
        <v>2</v>
      </c>
      <c r="K190" t="s">
        <v>223</v>
      </c>
    </row>
    <row r="191" spans="1:11" x14ac:dyDescent="0.25">
      <c r="A191">
        <v>190</v>
      </c>
      <c r="B191" t="s">
        <v>199</v>
      </c>
      <c r="C191" t="s">
        <v>214</v>
      </c>
      <c r="D191" t="s">
        <v>216</v>
      </c>
      <c r="E191">
        <v>47</v>
      </c>
      <c r="F191" t="s">
        <v>221</v>
      </c>
      <c r="G191">
        <v>2000</v>
      </c>
      <c r="H191">
        <v>5</v>
      </c>
      <c r="I191">
        <v>2</v>
      </c>
      <c r="J191">
        <v>5</v>
      </c>
      <c r="K191" t="s">
        <v>223</v>
      </c>
    </row>
    <row r="192" spans="1:11" x14ac:dyDescent="0.25">
      <c r="A192">
        <v>191</v>
      </c>
      <c r="B192" t="s">
        <v>200</v>
      </c>
      <c r="C192" t="s">
        <v>210</v>
      </c>
      <c r="D192" t="s">
        <v>220</v>
      </c>
      <c r="E192">
        <v>33</v>
      </c>
      <c r="F192" t="s">
        <v>222</v>
      </c>
      <c r="G192">
        <v>6000</v>
      </c>
      <c r="H192">
        <v>2</v>
      </c>
      <c r="I192">
        <v>3</v>
      </c>
      <c r="J192">
        <v>2</v>
      </c>
      <c r="K192" t="s">
        <v>223</v>
      </c>
    </row>
    <row r="193" spans="1:11" x14ac:dyDescent="0.25">
      <c r="A193">
        <v>192</v>
      </c>
      <c r="B193" t="s">
        <v>201</v>
      </c>
      <c r="C193" t="s">
        <v>213</v>
      </c>
      <c r="D193" t="s">
        <v>220</v>
      </c>
      <c r="E193">
        <v>31</v>
      </c>
      <c r="F193" t="s">
        <v>221</v>
      </c>
      <c r="G193">
        <v>9901</v>
      </c>
      <c r="H193">
        <v>6</v>
      </c>
      <c r="I193">
        <v>2</v>
      </c>
      <c r="J193">
        <v>2</v>
      </c>
      <c r="K193" t="s">
        <v>223</v>
      </c>
    </row>
    <row r="194" spans="1:11" x14ac:dyDescent="0.25">
      <c r="A194">
        <v>193</v>
      </c>
      <c r="B194" t="s">
        <v>202</v>
      </c>
      <c r="C194" t="s">
        <v>214</v>
      </c>
      <c r="D194" t="s">
        <v>217</v>
      </c>
      <c r="E194">
        <v>37</v>
      </c>
      <c r="F194" t="s">
        <v>221</v>
      </c>
      <c r="G194">
        <v>2888</v>
      </c>
      <c r="H194">
        <v>0</v>
      </c>
      <c r="I194">
        <v>3</v>
      </c>
      <c r="J194">
        <v>2</v>
      </c>
      <c r="K194" t="s">
        <v>223</v>
      </c>
    </row>
    <row r="195" spans="1:11" x14ac:dyDescent="0.25">
      <c r="A195">
        <v>194</v>
      </c>
      <c r="B195" t="s">
        <v>203</v>
      </c>
      <c r="C195" t="s">
        <v>212</v>
      </c>
      <c r="D195" t="s">
        <v>217</v>
      </c>
      <c r="E195">
        <v>60</v>
      </c>
      <c r="F195" t="s">
        <v>222</v>
      </c>
      <c r="G195">
        <v>3200</v>
      </c>
      <c r="H195">
        <v>16</v>
      </c>
      <c r="I195">
        <v>5</v>
      </c>
      <c r="J195">
        <v>4</v>
      </c>
      <c r="K195" t="s">
        <v>223</v>
      </c>
    </row>
    <row r="196" spans="1:11" x14ac:dyDescent="0.25">
      <c r="A196">
        <v>195</v>
      </c>
      <c r="B196" t="s">
        <v>204</v>
      </c>
      <c r="C196" t="s">
        <v>214</v>
      </c>
      <c r="D196" t="s">
        <v>217</v>
      </c>
      <c r="E196">
        <v>28</v>
      </c>
      <c r="F196" t="s">
        <v>222</v>
      </c>
      <c r="G196">
        <v>2900</v>
      </c>
      <c r="H196">
        <v>9</v>
      </c>
      <c r="I196">
        <v>3</v>
      </c>
      <c r="J196">
        <v>2</v>
      </c>
      <c r="K196" t="s">
        <v>223</v>
      </c>
    </row>
    <row r="197" spans="1:11" x14ac:dyDescent="0.25">
      <c r="A197">
        <v>196</v>
      </c>
      <c r="B197" t="s">
        <v>205</v>
      </c>
      <c r="C197" t="s">
        <v>211</v>
      </c>
      <c r="D197" t="s">
        <v>219</v>
      </c>
      <c r="E197">
        <v>37</v>
      </c>
      <c r="F197" t="s">
        <v>221</v>
      </c>
      <c r="G197">
        <v>9683</v>
      </c>
      <c r="H197">
        <v>6</v>
      </c>
      <c r="I197">
        <v>2</v>
      </c>
      <c r="J197">
        <v>5</v>
      </c>
      <c r="K197" t="s">
        <v>223</v>
      </c>
    </row>
    <row r="198" spans="1:11" x14ac:dyDescent="0.25">
      <c r="A198">
        <v>197</v>
      </c>
      <c r="B198" t="s">
        <v>206</v>
      </c>
      <c r="C198" t="s">
        <v>211</v>
      </c>
      <c r="D198" t="s">
        <v>216</v>
      </c>
      <c r="E198">
        <v>47</v>
      </c>
      <c r="F198" t="s">
        <v>222</v>
      </c>
      <c r="G198">
        <v>3313</v>
      </c>
      <c r="H198">
        <v>5</v>
      </c>
      <c r="I198">
        <v>1</v>
      </c>
      <c r="J198">
        <v>5</v>
      </c>
      <c r="K198" t="s">
        <v>223</v>
      </c>
    </row>
    <row r="199" spans="1:11" x14ac:dyDescent="0.25">
      <c r="A199">
        <v>198</v>
      </c>
      <c r="B199" t="s">
        <v>207</v>
      </c>
      <c r="C199" t="s">
        <v>215</v>
      </c>
      <c r="D199" t="s">
        <v>220</v>
      </c>
      <c r="E199">
        <v>56</v>
      </c>
      <c r="F199" t="s">
        <v>222</v>
      </c>
      <c r="G199">
        <v>5694</v>
      </c>
      <c r="H199">
        <v>1</v>
      </c>
      <c r="I199">
        <v>4</v>
      </c>
      <c r="J199">
        <v>3</v>
      </c>
      <c r="K199" t="s">
        <v>223</v>
      </c>
    </row>
    <row r="200" spans="1:11" x14ac:dyDescent="0.25">
      <c r="A200">
        <v>199</v>
      </c>
      <c r="B200" t="s">
        <v>208</v>
      </c>
      <c r="C200" t="s">
        <v>210</v>
      </c>
      <c r="D200" t="s">
        <v>218</v>
      </c>
      <c r="E200">
        <v>51</v>
      </c>
      <c r="F200" t="s">
        <v>221</v>
      </c>
      <c r="G200">
        <v>6000</v>
      </c>
      <c r="H200">
        <v>15</v>
      </c>
      <c r="I200">
        <v>5</v>
      </c>
      <c r="J200">
        <v>5</v>
      </c>
      <c r="K200" t="s">
        <v>224</v>
      </c>
    </row>
    <row r="201" spans="1:11" x14ac:dyDescent="0.25">
      <c r="A201">
        <v>200</v>
      </c>
      <c r="B201" t="s">
        <v>209</v>
      </c>
      <c r="C201" t="s">
        <v>212</v>
      </c>
      <c r="D201" t="s">
        <v>218</v>
      </c>
      <c r="E201">
        <v>43</v>
      </c>
      <c r="F201" t="s">
        <v>222</v>
      </c>
      <c r="G201">
        <v>4700</v>
      </c>
      <c r="H201">
        <v>5</v>
      </c>
      <c r="I201">
        <v>5</v>
      </c>
      <c r="J201">
        <v>1</v>
      </c>
      <c r="K201" t="s">
        <v>223</v>
      </c>
    </row>
  </sheetData>
  <autoFilter ref="A1:K201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ACB7-B1A5-4A3A-8AE6-A3E0525AEE30}">
  <dimension ref="A2:A12"/>
  <sheetViews>
    <sheetView workbookViewId="0">
      <selection activeCell="A17" sqref="A17"/>
    </sheetView>
  </sheetViews>
  <sheetFormatPr defaultRowHeight="15" x14ac:dyDescent="0.25"/>
  <cols>
    <col min="1" max="1" width="30.28515625" bestFit="1" customWidth="1"/>
  </cols>
  <sheetData>
    <row r="2" spans="1:1" x14ac:dyDescent="0.25">
      <c r="A2" t="s">
        <v>232</v>
      </c>
    </row>
    <row r="3" spans="1:1" x14ac:dyDescent="0.25">
      <c r="A3" t="s">
        <v>229</v>
      </c>
    </row>
    <row r="4" spans="1:1" x14ac:dyDescent="0.25">
      <c r="A4" s="2">
        <v>200</v>
      </c>
    </row>
    <row r="6" spans="1:1" x14ac:dyDescent="0.25">
      <c r="A6" t="s">
        <v>233</v>
      </c>
    </row>
    <row r="7" spans="1:1" x14ac:dyDescent="0.25">
      <c r="A7" t="s">
        <v>230</v>
      </c>
    </row>
    <row r="8" spans="1:1" x14ac:dyDescent="0.25">
      <c r="A8" s="5">
        <v>3.165</v>
      </c>
    </row>
    <row r="10" spans="1:1" x14ac:dyDescent="0.25">
      <c r="A10" t="s">
        <v>234</v>
      </c>
    </row>
    <row r="11" spans="1:1" x14ac:dyDescent="0.25">
      <c r="A11" t="s">
        <v>235</v>
      </c>
    </row>
    <row r="12" spans="1:1" x14ac:dyDescent="0.25">
      <c r="A12" s="6">
        <v>1170408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D4A14-B1EE-4C12-B5E4-A29AE719D5AF}">
  <dimension ref="A3:B6"/>
  <sheetViews>
    <sheetView showGridLines="0" workbookViewId="0">
      <selection activeCell="A17" sqref="A17"/>
    </sheetView>
  </sheetViews>
  <sheetFormatPr defaultRowHeight="15" x14ac:dyDescent="0.25"/>
  <cols>
    <col min="1" max="1" width="18" bestFit="1" customWidth="1"/>
    <col min="2" max="2" width="9" bestFit="1" customWidth="1"/>
  </cols>
  <sheetData>
    <row r="3" spans="1:2" x14ac:dyDescent="0.25">
      <c r="A3" s="3" t="s">
        <v>225</v>
      </c>
      <c r="B3" t="s">
        <v>228</v>
      </c>
    </row>
    <row r="4" spans="1:2" x14ac:dyDescent="0.25">
      <c r="A4" s="4" t="s">
        <v>223</v>
      </c>
      <c r="B4" s="2">
        <v>154</v>
      </c>
    </row>
    <row r="5" spans="1:2" x14ac:dyDescent="0.25">
      <c r="A5" s="4" t="s">
        <v>224</v>
      </c>
      <c r="B5" s="2">
        <v>46</v>
      </c>
    </row>
    <row r="6" spans="1:2" x14ac:dyDescent="0.25">
      <c r="A6" s="4" t="s">
        <v>226</v>
      </c>
      <c r="B6" s="2">
        <v>200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91D14-3138-4A6F-BEC0-67A29907E39A}">
  <dimension ref="A1:C10"/>
  <sheetViews>
    <sheetView workbookViewId="0">
      <selection activeCell="A17" sqref="A17"/>
    </sheetView>
  </sheetViews>
  <sheetFormatPr defaultRowHeight="15" x14ac:dyDescent="0.25"/>
  <cols>
    <col min="1" max="1" width="18" bestFit="1" customWidth="1"/>
    <col min="2" max="2" width="24.85546875" bestFit="1" customWidth="1"/>
  </cols>
  <sheetData>
    <row r="1" spans="1:3" x14ac:dyDescent="0.25">
      <c r="A1" s="3" t="s">
        <v>10</v>
      </c>
      <c r="B1" t="s">
        <v>224</v>
      </c>
    </row>
    <row r="3" spans="1:3" x14ac:dyDescent="0.25">
      <c r="A3" s="3" t="s">
        <v>225</v>
      </c>
      <c r="B3" t="s">
        <v>227</v>
      </c>
    </row>
    <row r="4" spans="1:3" x14ac:dyDescent="0.25">
      <c r="A4" s="4" t="s">
        <v>210</v>
      </c>
      <c r="B4" s="2">
        <v>4</v>
      </c>
      <c r="C4">
        <f>IF(B4=MAX($B$4:$B$9),B4,0)</f>
        <v>0</v>
      </c>
    </row>
    <row r="5" spans="1:3" x14ac:dyDescent="0.25">
      <c r="A5" s="4" t="s">
        <v>214</v>
      </c>
      <c r="B5" s="2">
        <v>4</v>
      </c>
      <c r="C5">
        <f t="shared" ref="C5:C9" si="0">IF(B5=MAX($B$4:$B$9),B5,0)</f>
        <v>0</v>
      </c>
    </row>
    <row r="6" spans="1:3" x14ac:dyDescent="0.25">
      <c r="A6" s="4" t="s">
        <v>215</v>
      </c>
      <c r="B6" s="2">
        <v>8</v>
      </c>
      <c r="C6">
        <f t="shared" si="0"/>
        <v>0</v>
      </c>
    </row>
    <row r="7" spans="1:3" x14ac:dyDescent="0.25">
      <c r="A7" s="4" t="s">
        <v>211</v>
      </c>
      <c r="B7" s="2">
        <v>8</v>
      </c>
      <c r="C7">
        <f t="shared" si="0"/>
        <v>0</v>
      </c>
    </row>
    <row r="8" spans="1:3" x14ac:dyDescent="0.25">
      <c r="A8" s="4" t="s">
        <v>212</v>
      </c>
      <c r="B8" s="2">
        <v>10</v>
      </c>
      <c r="C8">
        <f t="shared" si="0"/>
        <v>0</v>
      </c>
    </row>
    <row r="9" spans="1:3" x14ac:dyDescent="0.25">
      <c r="A9" s="4" t="s">
        <v>213</v>
      </c>
      <c r="B9" s="2">
        <v>12</v>
      </c>
      <c r="C9">
        <f t="shared" si="0"/>
        <v>12</v>
      </c>
    </row>
    <row r="10" spans="1:3" x14ac:dyDescent="0.25">
      <c r="A10" s="4" t="s">
        <v>226</v>
      </c>
      <c r="B10" s="2">
        <v>46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9599A-FB5C-4BCC-BB87-783BF620C615}">
  <dimension ref="A3:C10"/>
  <sheetViews>
    <sheetView workbookViewId="0">
      <selection activeCell="A17" sqref="A17"/>
    </sheetView>
  </sheetViews>
  <sheetFormatPr defaultRowHeight="15" x14ac:dyDescent="0.25"/>
  <cols>
    <col min="1" max="1" width="18" bestFit="1" customWidth="1"/>
    <col min="2" max="2" width="30.28515625" bestFit="1" customWidth="1"/>
  </cols>
  <sheetData>
    <row r="3" spans="1:3" x14ac:dyDescent="0.25">
      <c r="A3" s="3" t="s">
        <v>225</v>
      </c>
      <c r="B3" t="s">
        <v>230</v>
      </c>
    </row>
    <row r="4" spans="1:3" x14ac:dyDescent="0.25">
      <c r="A4" s="4" t="s">
        <v>212</v>
      </c>
      <c r="B4" s="5">
        <v>3.6956521739130435</v>
      </c>
      <c r="C4" s="5">
        <f>IF(B4=MIN(B4:B9),B4,0)</f>
        <v>0</v>
      </c>
    </row>
    <row r="5" spans="1:3" x14ac:dyDescent="0.25">
      <c r="A5" s="4" t="s">
        <v>210</v>
      </c>
      <c r="B5" s="5">
        <v>3.3777777777777778</v>
      </c>
      <c r="C5" s="5">
        <f t="shared" ref="C5:C9" si="0">IF(B5=MIN(B5:B10),B5,0)</f>
        <v>0</v>
      </c>
    </row>
    <row r="6" spans="1:3" x14ac:dyDescent="0.25">
      <c r="A6" s="4" t="s">
        <v>211</v>
      </c>
      <c r="B6" s="5">
        <v>3.25</v>
      </c>
      <c r="C6" s="5">
        <f t="shared" si="0"/>
        <v>0</v>
      </c>
    </row>
    <row r="7" spans="1:3" x14ac:dyDescent="0.25">
      <c r="A7" s="4" t="s">
        <v>214</v>
      </c>
      <c r="B7" s="5">
        <v>3</v>
      </c>
      <c r="C7" s="5">
        <f t="shared" si="0"/>
        <v>0</v>
      </c>
    </row>
    <row r="8" spans="1:3" x14ac:dyDescent="0.25">
      <c r="A8" s="4" t="s">
        <v>213</v>
      </c>
      <c r="B8" s="5">
        <v>2.8484848484848486</v>
      </c>
      <c r="C8" s="5">
        <f t="shared" si="0"/>
        <v>0</v>
      </c>
    </row>
    <row r="9" spans="1:3" x14ac:dyDescent="0.25">
      <c r="A9" s="4" t="s">
        <v>215</v>
      </c>
      <c r="B9" s="5">
        <v>2.7931034482758621</v>
      </c>
      <c r="C9" s="5">
        <f t="shared" si="0"/>
        <v>2.7931034482758621</v>
      </c>
    </row>
    <row r="10" spans="1:3" x14ac:dyDescent="0.25">
      <c r="A10" s="4" t="s">
        <v>226</v>
      </c>
      <c r="B10" s="2">
        <v>3.165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7E123-6B2B-433A-8DA7-400180A7233B}">
  <dimension ref="A3:B10"/>
  <sheetViews>
    <sheetView workbookViewId="0">
      <selection activeCell="A17" sqref="A17"/>
    </sheetView>
  </sheetViews>
  <sheetFormatPr defaultRowHeight="15" x14ac:dyDescent="0.25"/>
  <cols>
    <col min="1" max="1" width="18" bestFit="1" customWidth="1"/>
    <col min="2" max="2" width="16" bestFit="1" customWidth="1"/>
  </cols>
  <sheetData>
    <row r="3" spans="1:2" x14ac:dyDescent="0.25">
      <c r="A3" s="3" t="s">
        <v>225</v>
      </c>
      <c r="B3" t="s">
        <v>231</v>
      </c>
    </row>
    <row r="4" spans="1:2" x14ac:dyDescent="0.25">
      <c r="A4" s="4" t="s">
        <v>213</v>
      </c>
      <c r="B4" s="6">
        <v>7122.636363636364</v>
      </c>
    </row>
    <row r="5" spans="1:2" x14ac:dyDescent="0.25">
      <c r="A5" s="4" t="s">
        <v>210</v>
      </c>
      <c r="B5" s="6">
        <v>6925.2666666666664</v>
      </c>
    </row>
    <row r="6" spans="1:2" x14ac:dyDescent="0.25">
      <c r="A6" s="4" t="s">
        <v>215</v>
      </c>
      <c r="B6" s="6">
        <v>6028.7241379310344</v>
      </c>
    </row>
    <row r="7" spans="1:2" x14ac:dyDescent="0.25">
      <c r="A7" s="4" t="s">
        <v>211</v>
      </c>
      <c r="B7" s="6">
        <v>5109.204545454545</v>
      </c>
    </row>
    <row r="8" spans="1:2" x14ac:dyDescent="0.25">
      <c r="A8" s="4" t="s">
        <v>212</v>
      </c>
      <c r="B8" s="6">
        <v>5063.913043478261</v>
      </c>
    </row>
    <row r="9" spans="1:2" x14ac:dyDescent="0.25">
      <c r="A9" s="4" t="s">
        <v>214</v>
      </c>
      <c r="B9" s="6">
        <v>4139.0769230769229</v>
      </c>
    </row>
    <row r="10" spans="1:2" x14ac:dyDescent="0.25">
      <c r="A10" s="4" t="s">
        <v>226</v>
      </c>
      <c r="B10" s="2">
        <v>5852.04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BE052-D70C-4402-80C6-5BB8ECCE1F84}">
  <dimension ref="A3:I10"/>
  <sheetViews>
    <sheetView showGridLines="0" workbookViewId="0">
      <selection activeCell="A17" sqref="A17"/>
    </sheetView>
  </sheetViews>
  <sheetFormatPr defaultRowHeight="15" x14ac:dyDescent="0.25"/>
  <cols>
    <col min="1" max="1" width="18" bestFit="1" customWidth="1"/>
    <col min="2" max="2" width="15.85546875" bestFit="1" customWidth="1"/>
    <col min="7" max="7" width="9.140625" customWidth="1"/>
    <col min="8" max="8" width="14.5703125" bestFit="1" customWidth="1"/>
    <col min="9" max="9" width="13.28515625" bestFit="1" customWidth="1"/>
    <col min="10" max="10" width="19.7109375" customWidth="1"/>
  </cols>
  <sheetData>
    <row r="3" spans="1:9" x14ac:dyDescent="0.25">
      <c r="A3" s="22" t="s">
        <v>225</v>
      </c>
      <c r="B3" s="23" t="s">
        <v>231</v>
      </c>
    </row>
    <row r="4" spans="1:9" x14ac:dyDescent="0.25">
      <c r="A4" s="24" t="s">
        <v>219</v>
      </c>
      <c r="B4" s="25">
        <v>11054.8125</v>
      </c>
    </row>
    <row r="5" spans="1:9" x14ac:dyDescent="0.25">
      <c r="A5" s="24" t="s">
        <v>218</v>
      </c>
      <c r="B5" s="25">
        <v>6735.181818181818</v>
      </c>
    </row>
    <row r="6" spans="1:9" x14ac:dyDescent="0.25">
      <c r="A6" s="24" t="s">
        <v>220</v>
      </c>
      <c r="B6" s="25">
        <v>6361.6808510638302</v>
      </c>
      <c r="H6" s="4"/>
      <c r="I6" s="6"/>
    </row>
    <row r="7" spans="1:9" x14ac:dyDescent="0.25">
      <c r="A7" s="24" t="s">
        <v>217</v>
      </c>
      <c r="B7" s="25">
        <v>4174.0740740740739</v>
      </c>
      <c r="H7" s="4"/>
      <c r="I7" s="6"/>
    </row>
    <row r="8" spans="1:9" x14ac:dyDescent="0.25">
      <c r="A8" s="24" t="s">
        <v>216</v>
      </c>
      <c r="B8" s="25">
        <v>3201.8</v>
      </c>
      <c r="H8" s="4"/>
      <c r="I8" s="6"/>
    </row>
    <row r="9" spans="1:9" x14ac:dyDescent="0.25">
      <c r="A9" s="20" t="s">
        <v>226</v>
      </c>
      <c r="B9" s="21">
        <v>5852.04</v>
      </c>
      <c r="H9" s="4"/>
      <c r="I9" s="6"/>
    </row>
    <row r="10" spans="1:9" x14ac:dyDescent="0.25">
      <c r="H10" s="4"/>
      <c r="I10" s="6"/>
    </row>
  </sheetData>
  <pageMargins left="0.511811024" right="0.511811024" top="0.78740157499999996" bottom="0.78740157499999996" header="0.31496062000000002" footer="0.31496062000000002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span" xr2:uid="{26467560-4E32-4576-B2A7-60715B64AB08}">
          <x14:colorSeries rgb="FF32323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'Top 5 cargos com + média salari'!I6:I6</xm:f>
              <xm:sqref>J6</xm:sqref>
            </x14:sparkline>
            <x14:sparkline>
              <xm:f>'Top 5 cargos com + média salari'!I7:I7</xm:f>
              <xm:sqref>J7</xm:sqref>
            </x14:sparkline>
            <x14:sparkline>
              <xm:f>'Top 5 cargos com + média salari'!I8:I8</xm:f>
              <xm:sqref>J8</xm:sqref>
            </x14:sparkline>
            <x14:sparkline>
              <xm:f>'Top 5 cargos com + média salari'!I9:I9</xm:f>
              <xm:sqref>J9</xm:sqref>
            </x14:sparkline>
            <x14:sparkline>
              <xm:f>'Top 5 cargos com + média salari'!I10:I10</xm:f>
              <xm:sqref>J10</xm:sqref>
            </x14:sparkline>
          </x14:sparklines>
        </x14:sparklineGroup>
      </x14:sparklineGroup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C9C83-B2BD-45B4-9FD9-E4774E0894FF}">
  <dimension ref="A2:B15"/>
  <sheetViews>
    <sheetView showGridLines="0" workbookViewId="0">
      <selection activeCell="A17" sqref="A17"/>
    </sheetView>
  </sheetViews>
  <sheetFormatPr defaultRowHeight="15" x14ac:dyDescent="0.25"/>
  <cols>
    <col min="1" max="1" width="19.7109375" bestFit="1" customWidth="1"/>
    <col min="2" max="2" width="10.7109375" customWidth="1"/>
    <col min="3" max="3" width="15.42578125" customWidth="1"/>
  </cols>
  <sheetData>
    <row r="2" spans="1:2" x14ac:dyDescent="0.25">
      <c r="A2" s="18"/>
      <c r="B2" s="18"/>
    </row>
    <row r="3" spans="1:2" x14ac:dyDescent="0.25">
      <c r="A3" s="19" t="s">
        <v>225</v>
      </c>
      <c r="B3" s="18" t="s">
        <v>236</v>
      </c>
    </row>
    <row r="4" spans="1:2" x14ac:dyDescent="0.25">
      <c r="A4" s="20" t="s">
        <v>29</v>
      </c>
      <c r="B4" s="21">
        <v>23</v>
      </c>
    </row>
    <row r="5" spans="1:2" x14ac:dyDescent="0.25">
      <c r="A5" s="20" t="s">
        <v>65</v>
      </c>
      <c r="B5" s="21">
        <v>20</v>
      </c>
    </row>
    <row r="6" spans="1:2" x14ac:dyDescent="0.25">
      <c r="A6" s="20" t="s">
        <v>35</v>
      </c>
      <c r="B6" s="21">
        <v>20</v>
      </c>
    </row>
    <row r="7" spans="1:2" x14ac:dyDescent="0.25">
      <c r="A7" s="20" t="s">
        <v>93</v>
      </c>
      <c r="B7" s="21">
        <v>20</v>
      </c>
    </row>
    <row r="8" spans="1:2" x14ac:dyDescent="0.25">
      <c r="A8" s="20" t="s">
        <v>143</v>
      </c>
      <c r="B8" s="21">
        <v>20</v>
      </c>
    </row>
    <row r="9" spans="1:2" x14ac:dyDescent="0.25">
      <c r="A9" s="20" t="s">
        <v>144</v>
      </c>
      <c r="B9" s="21">
        <v>20</v>
      </c>
    </row>
    <row r="10" spans="1:2" x14ac:dyDescent="0.25">
      <c r="A10" s="20" t="s">
        <v>128</v>
      </c>
      <c r="B10" s="21">
        <v>20</v>
      </c>
    </row>
    <row r="11" spans="1:2" x14ac:dyDescent="0.25">
      <c r="A11" s="20" t="s">
        <v>101</v>
      </c>
      <c r="B11" s="21">
        <v>20</v>
      </c>
    </row>
    <row r="12" spans="1:2" x14ac:dyDescent="0.25">
      <c r="A12" s="20" t="s">
        <v>127</v>
      </c>
      <c r="B12" s="21">
        <v>20</v>
      </c>
    </row>
    <row r="13" spans="1:2" x14ac:dyDescent="0.25">
      <c r="A13" s="20" t="s">
        <v>140</v>
      </c>
      <c r="B13" s="21">
        <v>20</v>
      </c>
    </row>
    <row r="14" spans="1:2" x14ac:dyDescent="0.25">
      <c r="A14" s="20" t="s">
        <v>154</v>
      </c>
      <c r="B14" s="21">
        <v>20</v>
      </c>
    </row>
    <row r="15" spans="1:2" x14ac:dyDescent="0.25">
      <c r="A15" s="16" t="s">
        <v>226</v>
      </c>
      <c r="B15" s="17">
        <v>223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0E8D0-F484-4519-9092-073046DD72F5}">
  <dimension ref="B2:M49"/>
  <sheetViews>
    <sheetView showGridLines="0" showRowColHeaders="0" tabSelected="1" zoomScale="115" zoomScaleNormal="115" workbookViewId="0">
      <selection activeCell="Y24" sqref="Y24"/>
    </sheetView>
  </sheetViews>
  <sheetFormatPr defaultRowHeight="15" x14ac:dyDescent="0.25"/>
  <cols>
    <col min="2" max="2" width="18" bestFit="1" customWidth="1"/>
    <col min="3" max="3" width="9" bestFit="1" customWidth="1"/>
  </cols>
  <sheetData>
    <row r="2" spans="2:13" x14ac:dyDescent="0.25">
      <c r="K2" s="7"/>
      <c r="L2" s="8"/>
      <c r="M2" s="9"/>
    </row>
    <row r="3" spans="2:13" x14ac:dyDescent="0.25">
      <c r="K3" s="10"/>
      <c r="L3" s="11"/>
      <c r="M3" s="12"/>
    </row>
    <row r="4" spans="2:13" x14ac:dyDescent="0.25">
      <c r="B4" s="3" t="s">
        <v>225</v>
      </c>
      <c r="C4" t="s">
        <v>228</v>
      </c>
      <c r="K4" s="10"/>
      <c r="L4" s="11"/>
      <c r="M4" s="12"/>
    </row>
    <row r="5" spans="2:13" x14ac:dyDescent="0.25">
      <c r="B5" s="4" t="s">
        <v>223</v>
      </c>
      <c r="C5" s="2">
        <v>154</v>
      </c>
      <c r="K5" s="10"/>
      <c r="L5" s="11"/>
      <c r="M5" s="12"/>
    </row>
    <row r="6" spans="2:13" x14ac:dyDescent="0.25">
      <c r="B6" s="4" t="s">
        <v>224</v>
      </c>
      <c r="C6" s="2">
        <v>46</v>
      </c>
      <c r="K6" s="10"/>
      <c r="L6" s="11"/>
      <c r="M6" s="12"/>
    </row>
    <row r="7" spans="2:13" x14ac:dyDescent="0.25">
      <c r="B7" s="4" t="s">
        <v>226</v>
      </c>
      <c r="C7" s="2">
        <v>200</v>
      </c>
      <c r="K7" s="10"/>
      <c r="L7" s="11"/>
      <c r="M7" s="12"/>
    </row>
    <row r="8" spans="2:13" x14ac:dyDescent="0.25">
      <c r="K8" s="10"/>
      <c r="L8" s="11"/>
      <c r="M8" s="12"/>
    </row>
    <row r="9" spans="2:13" x14ac:dyDescent="0.25">
      <c r="K9" s="10"/>
      <c r="L9" s="11"/>
      <c r="M9" s="12"/>
    </row>
    <row r="10" spans="2:13" x14ac:dyDescent="0.25">
      <c r="K10" s="10"/>
      <c r="L10" s="11"/>
      <c r="M10" s="12"/>
    </row>
    <row r="11" spans="2:13" x14ac:dyDescent="0.25">
      <c r="K11" s="10"/>
      <c r="L11" s="11"/>
      <c r="M11" s="12"/>
    </row>
    <row r="12" spans="2:13" x14ac:dyDescent="0.25">
      <c r="K12" s="10"/>
      <c r="L12" s="11"/>
      <c r="M12" s="12"/>
    </row>
    <row r="13" spans="2:13" x14ac:dyDescent="0.25">
      <c r="K13" s="10"/>
      <c r="L13" s="11"/>
      <c r="M13" s="12"/>
    </row>
    <row r="14" spans="2:13" x14ac:dyDescent="0.25">
      <c r="K14" s="10"/>
      <c r="L14" s="11"/>
      <c r="M14" s="12"/>
    </row>
    <row r="15" spans="2:13" x14ac:dyDescent="0.25">
      <c r="K15" s="10"/>
      <c r="L15" s="11"/>
      <c r="M15" s="12"/>
    </row>
    <row r="16" spans="2:13" x14ac:dyDescent="0.25">
      <c r="K16" s="10"/>
      <c r="L16" s="11"/>
      <c r="M16" s="12"/>
    </row>
    <row r="17" spans="11:13" x14ac:dyDescent="0.25">
      <c r="K17" s="10"/>
      <c r="L17" s="11"/>
      <c r="M17" s="12"/>
    </row>
    <row r="18" spans="11:13" x14ac:dyDescent="0.25">
      <c r="K18" s="10"/>
      <c r="L18" s="11"/>
      <c r="M18" s="12"/>
    </row>
    <row r="19" spans="11:13" x14ac:dyDescent="0.25">
      <c r="K19" s="13"/>
      <c r="L19" s="14"/>
      <c r="M19" s="15"/>
    </row>
    <row r="35" spans="2:13" x14ac:dyDescent="0.25">
      <c r="B35" s="4"/>
      <c r="C35" s="6"/>
    </row>
    <row r="36" spans="2:13" x14ac:dyDescent="0.25">
      <c r="B36" s="4"/>
      <c r="C36" s="6"/>
    </row>
    <row r="37" spans="2:13" x14ac:dyDescent="0.25">
      <c r="B37" s="4"/>
      <c r="C37" s="6"/>
    </row>
    <row r="38" spans="2:13" x14ac:dyDescent="0.25">
      <c r="B38" s="4"/>
      <c r="C38" s="6"/>
    </row>
    <row r="39" spans="2:13" x14ac:dyDescent="0.25">
      <c r="B39" s="4"/>
      <c r="C39" s="6"/>
    </row>
    <row r="45" spans="2:13" x14ac:dyDescent="0.25">
      <c r="F45" s="4"/>
      <c r="G45" s="6"/>
      <c r="L45" s="4"/>
      <c r="M45" s="6"/>
    </row>
    <row r="46" spans="2:13" x14ac:dyDescent="0.25">
      <c r="F46" s="4"/>
      <c r="G46" s="6"/>
      <c r="L46" s="4"/>
      <c r="M46" s="6"/>
    </row>
    <row r="47" spans="2:13" x14ac:dyDescent="0.25">
      <c r="F47" s="4"/>
      <c r="G47" s="6"/>
      <c r="L47" s="4"/>
      <c r="M47" s="6"/>
    </row>
    <row r="48" spans="2:13" x14ac:dyDescent="0.25">
      <c r="F48" s="4"/>
      <c r="G48" s="6"/>
      <c r="L48" s="4"/>
      <c r="M48" s="6"/>
    </row>
    <row r="49" spans="6:13" x14ac:dyDescent="0.25">
      <c r="F49" s="4"/>
      <c r="G49" s="6"/>
      <c r="L49" s="4"/>
      <c r="M49" s="6"/>
    </row>
  </sheetData>
  <pageMargins left="0.511811024" right="0.511811024" top="0.78740157499999996" bottom="0.78740157499999996" header="0.31496062000000002" footer="0.31496062000000002"/>
  <drawing r:id="rId3"/>
  <legacyDrawing r:id="rId4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span" xr2:uid="{45BA2549-AC35-4586-AE50-F8A3E91CC03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Dashboard_RH!C35:C35</xm:f>
              <xm:sqref>D35</xm:sqref>
            </x14:sparkline>
            <x14:sparkline>
              <xm:f>Dashboard_RH!C36:C36</xm:f>
              <xm:sqref>D36</xm:sqref>
            </x14:sparkline>
            <x14:sparkline>
              <xm:f>Dashboard_RH!C37:C37</xm:f>
              <xm:sqref>D37</xm:sqref>
            </x14:sparkline>
            <x14:sparkline>
              <xm:f>Dashboard_RH!C38:C38</xm:f>
              <xm:sqref>D38</xm:sqref>
            </x14:sparkline>
            <x14:sparkline>
              <xm:f>Dashboard_RH!C39:C39</xm:f>
              <xm:sqref>D39</xm:sqref>
            </x14:sparkline>
          </x14:sparklines>
        </x14:sparklineGroup>
      </x14:sparklineGroups>
    </ext>
    <ext xmlns:x15="http://schemas.microsoft.com/office/spreadsheetml/2010/11/main" uri="{F7C9EE02-42E1-4005-9D12-6889AFFD525C}">
      <x15:webExtensions xmlns:xm="http://schemas.microsoft.com/office/excel/2006/main">
        <x15:webExtension appRef="{E1CE3524-3115-48E9-8FC4-E811114BA2C8}">
          <xm:f>Dashboard_RH!$B$5:$C$6</xm:f>
        </x15:webExtension>
      </x15:webExtens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74871BC4-1C9B-4CEA-9887-DC2143B100FE}">
  <ds:schemaRefs/>
</ds:datastoreItem>
</file>

<file path=customXml/itemProps2.xml><?xml version="1.0" encoding="utf-8"?>
<ds:datastoreItem xmlns:ds="http://schemas.openxmlformats.org/officeDocument/2006/customXml" ds:itemID="{B23A6C19-6F4F-4BAD-8492-4280A7817D33}">
  <ds:schemaRefs/>
</ds:datastoreItem>
</file>

<file path=customXml/itemProps3.xml><?xml version="1.0" encoding="utf-8"?>
<ds:datastoreItem xmlns:ds="http://schemas.openxmlformats.org/officeDocument/2006/customXml" ds:itemID="{02CF2C8E-94DA-4674-B369-27C9CDFA2EC6}">
  <ds:schemaRefs/>
</ds:datastoreItem>
</file>

<file path=customXml/itemProps4.xml><?xml version="1.0" encoding="utf-8"?>
<ds:datastoreItem xmlns:ds="http://schemas.openxmlformats.org/officeDocument/2006/customXml" ds:itemID="{EAD4B3A0-EBF7-40B1-A307-2D19494FE19C}">
  <ds:schemaRefs/>
</ds:datastoreItem>
</file>

<file path=customXml/itemProps5.xml><?xml version="1.0" encoding="utf-8"?>
<ds:datastoreItem xmlns:ds="http://schemas.openxmlformats.org/officeDocument/2006/customXml" ds:itemID="{ADFFEFE2-34EA-4F35-B0DC-6A54CC50C66F}">
  <ds:schemaRefs/>
</ds:datastoreItem>
</file>

<file path=customXml/itemProps6.xml><?xml version="1.0" encoding="utf-8"?>
<ds:datastoreItem xmlns:ds="http://schemas.openxmlformats.org/officeDocument/2006/customXml" ds:itemID="{CD5A0997-9A76-491E-B36C-345942104EF1}">
  <ds:schemaRefs/>
</ds:datastoreItem>
</file>

<file path=customXml/itemProps7.xml><?xml version="1.0" encoding="utf-8"?>
<ds:datastoreItem xmlns:ds="http://schemas.openxmlformats.org/officeDocument/2006/customXml" ds:itemID="{D00CD5FE-FE0F-4A0C-9F51-292513A76B43}">
  <ds:schemaRefs/>
</ds:datastoreItem>
</file>

<file path=customXml/itemProps8.xml><?xml version="1.0" encoding="utf-8"?>
<ds:datastoreItem xmlns:ds="http://schemas.openxmlformats.org/officeDocument/2006/customXml" ds:itemID="{A6EDDD3E-516C-49D4-A5A6-79F289489DE8}">
  <ds:schemaRefs/>
</ds:datastoreItem>
</file>

<file path=customXml/itemProps9.xml><?xml version="1.0" encoding="utf-8"?>
<ds:datastoreItem xmlns:ds="http://schemas.openxmlformats.org/officeDocument/2006/customXml" ds:itemID="{A78AF740-C4D8-40F3-ADB2-F6C3ED7AEFFC}">
  <ds:schemaRefs/>
</ds:datastoreItem>
</file>

<file path=customXml/itemProps10.xml><?xml version="1.0" encoding="utf-8"?>
<ds:datastoreItem xmlns:ds="http://schemas.openxmlformats.org/officeDocument/2006/customXml" ds:itemID="{04FC874C-65DA-4B49-9034-673A37D1922D}">
  <ds:schemaRefs/>
</ds:datastoreItem>
</file>

<file path=customXml/itemProps11.xml><?xml version="1.0" encoding="utf-8"?>
<ds:datastoreItem xmlns:ds="http://schemas.openxmlformats.org/officeDocument/2006/customXml" ds:itemID="{8CEFB135-625A-46DB-A5C4-9B7E21DDE2FC}">
  <ds:schemaRefs/>
</ds:datastoreItem>
</file>

<file path=customXml/itemProps12.xml><?xml version="1.0" encoding="utf-8"?>
<ds:datastoreItem xmlns:ds="http://schemas.openxmlformats.org/officeDocument/2006/customXml" ds:itemID="{FF602926-D35A-4EF4-A380-051884834D77}">
  <ds:schemaRefs/>
</ds:datastoreItem>
</file>

<file path=customXml/itemProps13.xml><?xml version="1.0" encoding="utf-8"?>
<ds:datastoreItem xmlns:ds="http://schemas.openxmlformats.org/officeDocument/2006/customXml" ds:itemID="{E23B16FC-8984-4DF3-B56C-F7E410EDD310}">
  <ds:schemaRefs/>
</ds:datastoreItem>
</file>

<file path=customXml/itemProps14.xml><?xml version="1.0" encoding="utf-8"?>
<ds:datastoreItem xmlns:ds="http://schemas.openxmlformats.org/officeDocument/2006/customXml" ds:itemID="{719469C0-4D9E-4DD9-AD4D-6A4E53AF1057}">
  <ds:schemaRefs/>
</ds:datastoreItem>
</file>

<file path=customXml/itemProps15.xml><?xml version="1.0" encoding="utf-8"?>
<ds:datastoreItem xmlns:ds="http://schemas.openxmlformats.org/officeDocument/2006/customXml" ds:itemID="{CFDB8121-EC29-4C12-9A65-793A2C054B8B}">
  <ds:schemaRefs/>
</ds:datastoreItem>
</file>

<file path=customXml/itemProps16.xml><?xml version="1.0" encoding="utf-8"?>
<ds:datastoreItem xmlns:ds="http://schemas.openxmlformats.org/officeDocument/2006/customXml" ds:itemID="{E444EF0B-B9E9-46D5-93D5-FC04ED5CDECE}">
  <ds:schemaRefs/>
</ds:datastoreItem>
</file>

<file path=customXml/itemProps17.xml><?xml version="1.0" encoding="utf-8"?>
<ds:datastoreItem xmlns:ds="http://schemas.openxmlformats.org/officeDocument/2006/customXml" ds:itemID="{24F5E645-49F2-4433-B250-227E49B8F265}">
  <ds:schemaRefs/>
</ds:datastoreItem>
</file>

<file path=customXml/itemProps18.xml><?xml version="1.0" encoding="utf-8"?>
<ds:datastoreItem xmlns:ds="http://schemas.openxmlformats.org/officeDocument/2006/customXml" ds:itemID="{E8D46153-F204-40AE-A028-1E9D605F931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Base_RH</vt:lpstr>
      <vt:lpstr>Medidas</vt:lpstr>
      <vt:lpstr>% Turnover</vt:lpstr>
      <vt:lpstr>Turnover por Depart-&gt;cargo</vt:lpstr>
      <vt:lpstr>Média satisfação por depart</vt:lpstr>
      <vt:lpstr>Média Salarial por Cargo</vt:lpstr>
      <vt:lpstr>Top 5 cargos com + média salari</vt:lpstr>
      <vt:lpstr>Funcionarios com + tempo de cas</vt:lpstr>
      <vt:lpstr>Dashboard_RH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2024-12-05T15:11:19Z</dcterms:created>
  <dcterms:modified xsi:type="dcterms:W3CDTF">2024-12-10T15:02:11Z</dcterms:modified>
</cp:coreProperties>
</file>